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list" sheetId="1" state="visible" r:id="rId3"/>
    <sheet name="Dashboard" sheetId="2" state="visible" r:id="rId4"/>
  </sheets>
  <definedNames>
    <definedName function="false" hidden="true" localSheetId="0" name="_xlnm._FilterDatabase" vbProcedure="false">Decklist!$A$3:$J$87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<sst xmlns="http://schemas.openxmlformats.org/spreadsheetml/2006/main" count="649" uniqueCount="230">
  <si>
    <t xml:space="preserve">Karlov of the Ghost Council — Comprehensive Decklist (v1)</t>
  </si>
  <si>
    <t xml:space="preserve">Quantity</t>
  </si>
  <si>
    <t xml:space="preserve">Category</t>
  </si>
  <si>
    <t xml:space="preserve">Card Name</t>
  </si>
  <si>
    <t xml:space="preserve">Card Type</t>
  </si>
  <si>
    <t xml:space="preserve">Mana Value</t>
  </si>
  <si>
    <t xml:space="preserve">Colour Identity</t>
  </si>
  <si>
    <t xml:space="preserve">Key Card?</t>
  </si>
  <si>
    <t xml:space="preserve">Est. Cost (USD)</t>
  </si>
  <si>
    <t xml:space="preserve">Collection Status</t>
  </si>
  <si>
    <t xml:space="preserve">Notes &amp; Strategy</t>
  </si>
  <si>
    <t xml:space="preserve">Commander</t>
  </si>
  <si>
    <t xml:space="preserve">Karlov of the Ghost Council</t>
  </si>
  <si>
    <t xml:space="preserve">Creature</t>
  </si>
  <si>
    <t xml:space="preserve">W/B</t>
  </si>
  <si>
    <t xml:space="preserve">Yes</t>
  </si>
  <si>
    <t xml:space="preserve">Needed</t>
  </si>
  <si>
    <t xml:space="preserve">Grows two counters per life-gain trigger; exile a creature by removing six counters.</t>
  </si>
  <si>
    <t xml:space="preserve">Lifegain Engines</t>
  </si>
  <si>
    <t xml:space="preserve">Sorin, Solemn Visitor</t>
  </si>
  <si>
    <t xml:space="preserve">Planeswalker</t>
  </si>
  <si>
    <t xml:space="preserve">No</t>
  </si>
  <si>
    <t xml:space="preserve">Team-wide lifelink swing turns combat into a pile of Karlov triggers.</t>
  </si>
  <si>
    <t xml:space="preserve">Sorin, Vengeful Bloodlord</t>
  </si>
  <si>
    <t xml:space="preserve">Static lifelink for all your creatures; ultimate reanimates from either yard.</t>
  </si>
  <si>
    <t xml:space="preserve">Soul Warden</t>
  </si>
  <si>
    <t xml:space="preserve">W</t>
  </si>
  <si>
    <t xml:space="preserve">Soul sister: a trigger for every creature entering, yours or theirs.</t>
  </si>
  <si>
    <t xml:space="preserve">Soulmender</t>
  </si>
  <si>
    <t xml:space="preserve">Repeatable one-mana life gain; cheapest way to grow Karlov each turn.</t>
  </si>
  <si>
    <t xml:space="preserve">Soul's Attendant</t>
  </si>
  <si>
    <t xml:space="preserve">Second Soul Warden; doubles up the incidental triggers.</t>
  </si>
  <si>
    <t xml:space="preserve">Protection &amp; Equipment</t>
  </si>
  <si>
    <t xml:space="preserve">Mother of Runes</t>
  </si>
  <si>
    <t xml:space="preserve">Protects Karlov from targeted removal for free every turn.</t>
  </si>
  <si>
    <t xml:space="preserve">Lifegain Payoffs</t>
  </si>
  <si>
    <t xml:space="preserve">Serra Ascendant</t>
  </si>
  <si>
    <t xml:space="preserve">6/6 lifelink flier for one mana once you are at 30 or more.</t>
  </si>
  <si>
    <t xml:space="preserve">Elas il-Kor, Sadistic Pilgrim</t>
  </si>
  <si>
    <t xml:space="preserve">Drains on every opposing death and gains on each of your creatures entering.</t>
  </si>
  <si>
    <t xml:space="preserve">Vizkopa Guildmage</t>
  </si>
  <si>
    <t xml:space="preserve">Second ability plus any big life gain is a one-card kill with Exquisite Blood.</t>
  </si>
  <si>
    <t xml:space="preserve">Blood Artist</t>
  </si>
  <si>
    <t xml:space="preserve">B</t>
  </si>
  <si>
    <t xml:space="preserve">Drains one per creature death; combo piece with Exquisite Blood.</t>
  </si>
  <si>
    <t xml:space="preserve">Suture Priest</t>
  </si>
  <si>
    <t xml:space="preserve">Gain on your creatures, drain on theirs.</t>
  </si>
  <si>
    <t xml:space="preserve">Auriok Champion</t>
  </si>
  <si>
    <t xml:space="preserve">Protection from black and red makes it near-unkillable; steady triggers.</t>
  </si>
  <si>
    <t xml:space="preserve">Daxos, Blessed by the Sun</t>
  </si>
  <si>
    <t xml:space="preserve">Gains life on every creature entering or dying, and recurs as a Spirit.</t>
  </si>
  <si>
    <t xml:space="preserve">Cliffhaven Vampire</t>
  </si>
  <si>
    <t xml:space="preserve">Every life-gain event drains an opponent for the same amount.</t>
  </si>
  <si>
    <t xml:space="preserve">Voice of the Blessed</t>
  </si>
  <si>
    <t xml:space="preserve">Counters on every life-gain trigger; gains flying, vigilance and indestructible.</t>
  </si>
  <si>
    <t xml:space="preserve">Drana's Emissary</t>
  </si>
  <si>
    <t xml:space="preserve">Upkeep drain: guaranteed trigger every turn even with an empty board.</t>
  </si>
  <si>
    <t xml:space="preserve">Marauding Blight-Priest</t>
  </si>
  <si>
    <t xml:space="preserve">Turns each life-gain trigger into one damage to each opponent.</t>
  </si>
  <si>
    <t xml:space="preserve">Kambal, Consul of Allocation</t>
  </si>
  <si>
    <t xml:space="preserve">Taxes every noncreature spell; a Karlov trigger on each opposing spell.</t>
  </si>
  <si>
    <t xml:space="preserve">Card Advantage</t>
  </si>
  <si>
    <t xml:space="preserve">Lurrus of the Dream-Den</t>
  </si>
  <si>
    <t xml:space="preserve">Recurs a cheap permanent each turn; the deck is dense with two-drops.</t>
  </si>
  <si>
    <t xml:space="preserve">Vito, Thorn of the Dusk Rose</t>
  </si>
  <si>
    <t xml:space="preserve">Life gain becomes loss of life; with Exquisite Blood it is an instant loop.</t>
  </si>
  <si>
    <t xml:space="preserve">Ranger of Eos</t>
  </si>
  <si>
    <t xml:space="preserve">Tutors two one-drops: Soul Warden, Soulmender, Serra Ascendant, Mother of Runes.</t>
  </si>
  <si>
    <t xml:space="preserve">Kalitas, Traitor of Ghet</t>
  </si>
  <si>
    <t xml:space="preserve">Lifelink body that exiles opposing dying creatures and builds Zombies.</t>
  </si>
  <si>
    <t xml:space="preserve">Sunscorch Regent</t>
  </si>
  <si>
    <t xml:space="preserve">Gains a life and a counter every time an opponent casts a spell.</t>
  </si>
  <si>
    <t xml:space="preserve">Archangel of Thune</t>
  </si>
  <si>
    <t xml:space="preserve">Every life-gain trigger pumps the whole board; ends games quickly.</t>
  </si>
  <si>
    <t xml:space="preserve">Syr Konrad, the Grim</t>
  </si>
  <si>
    <t xml:space="preserve">Damage on every creature death or mill; a second drain axis.</t>
  </si>
  <si>
    <t xml:space="preserve">Felidar Sovereign</t>
  </si>
  <si>
    <t xml:space="preserve">Alternate win at 40 life; realistic in this deck by turn eight or nine.</t>
  </si>
  <si>
    <t xml:space="preserve">Sun Titan</t>
  </si>
  <si>
    <t xml:space="preserve">Recurs a permanent of mana value three or less on every attack.</t>
  </si>
  <si>
    <t xml:space="preserve">Sensei's Divining Top</t>
  </si>
  <si>
    <t xml:space="preserve">Artifact</t>
  </si>
  <si>
    <t xml:space="preserve">C</t>
  </si>
  <si>
    <t xml:space="preserve">Smooths every draw; excellent with Well of Lost Dreams and Land Tax.</t>
  </si>
  <si>
    <t xml:space="preserve">Fountain of Renewal</t>
  </si>
  <si>
    <t xml:space="preserve">One life per upkeep for free, and cashes in for a card later.</t>
  </si>
  <si>
    <t xml:space="preserve">Ramp &amp; Fixing</t>
  </si>
  <si>
    <t xml:space="preserve">Sol Ring</t>
  </si>
  <si>
    <t xml:space="preserve">Two colourless on turn one; strongest ramp in the format.</t>
  </si>
  <si>
    <t xml:space="preserve">Orzhov Signet</t>
  </si>
  <si>
    <t xml:space="preserve">Filters into W/B and ramps.</t>
  </si>
  <si>
    <t xml:space="preserve">Swiftfoot Boots</t>
  </si>
  <si>
    <t xml:space="preserve">Hexproof and haste for Karlov; lets him attack the turn he lands.</t>
  </si>
  <si>
    <t xml:space="preserve">Lightning Greaves</t>
  </si>
  <si>
    <t xml:space="preserve">Shroud and haste for two mana with a free equip.</t>
  </si>
  <si>
    <t xml:space="preserve">Umezawa's Jitte</t>
  </si>
  <si>
    <t xml:space="preserve">Counters can be spent to gain four life, which is two more Karlov counters.</t>
  </si>
  <si>
    <t xml:space="preserve">Pristine Talisman</t>
  </si>
  <si>
    <t xml:space="preserve">Ramp that gains a life on every tap; a trigger attached to your mana base.</t>
  </si>
  <si>
    <t xml:space="preserve">Whispersilk Cloak</t>
  </si>
  <si>
    <t xml:space="preserve">Unblockable plus shroud; carries the Karlov beatdown through any board.</t>
  </si>
  <si>
    <t xml:space="preserve">Cosmos Elixir</t>
  </si>
  <si>
    <t xml:space="preserve">Draws an extra card in any turn you gained life.</t>
  </si>
  <si>
    <t xml:space="preserve">Well of Lost Dreams</t>
  </si>
  <si>
    <t xml:space="preserve">Converts life gain into cards; the deck's best mana sink.</t>
  </si>
  <si>
    <t xml:space="preserve">Aetherflux Reservoir</t>
  </si>
  <si>
    <t xml:space="preserve">Stockpiles life from your spell chain, then fires 50 at a player.</t>
  </si>
  <si>
    <t xml:space="preserve">Phyrexian Reclamation</t>
  </si>
  <si>
    <t xml:space="preserve">Enchantment</t>
  </si>
  <si>
    <t xml:space="preserve">Rebuys Karlov or any soul sister from the graveyard for two mana.</t>
  </si>
  <si>
    <t xml:space="preserve">Authority of the Consuls</t>
  </si>
  <si>
    <t xml:space="preserve">Opposing creatures enter tapped and hand you a life-gain trigger.</t>
  </si>
  <si>
    <t xml:space="preserve">Dawn of Hope</t>
  </si>
  <si>
    <t xml:space="preserve">Draws on life gain and makes 1/1 lifelink Soldiers as a mana sink.</t>
  </si>
  <si>
    <t xml:space="preserve">Land Tax</t>
  </si>
  <si>
    <t xml:space="preserve">Free lands every upkeep while behind; fuels the top of your deck.</t>
  </si>
  <si>
    <t xml:space="preserve">Ajani's Mantra</t>
  </si>
  <si>
    <t xml:space="preserve">One life in every upkeep: the cheapest guaranteed recurring trigger.</t>
  </si>
  <si>
    <t xml:space="preserve">Blind Obedience</t>
  </si>
  <si>
    <t xml:space="preserve">Slows down opposing permanents and extorts for extra drain triggers.</t>
  </si>
  <si>
    <t xml:space="preserve">Necropotence</t>
  </si>
  <si>
    <t xml:space="preserve">Trades your inflated life total straight back into cards.</t>
  </si>
  <si>
    <t xml:space="preserve">Phyrexian Arena</t>
  </si>
  <si>
    <t xml:space="preserve">An extra card each turn; the life loss is irrelevant here.</t>
  </si>
  <si>
    <t xml:space="preserve">Exquisite Blood</t>
  </si>
  <si>
    <t xml:space="preserve">Combo half: infinite with Sanguine Bond, Vito or Vizkopa Guildmage.</t>
  </si>
  <si>
    <t xml:space="preserve">Sanguine Bond</t>
  </si>
  <si>
    <t xml:space="preserve">Combo half: life gain becomes loss, looping with Exquisite Blood.</t>
  </si>
  <si>
    <t xml:space="preserve">Removal &amp; Wraths</t>
  </si>
  <si>
    <t xml:space="preserve">Swords to Plowshares</t>
  </si>
  <si>
    <t xml:space="preserve">Instant</t>
  </si>
  <si>
    <t xml:space="preserve">Premier one-mana removal; the life they gain is a fair price.</t>
  </si>
  <si>
    <t xml:space="preserve">Path to Exile</t>
  </si>
  <si>
    <t xml:space="preserve">Instant-speed exile for one mana.</t>
  </si>
  <si>
    <t xml:space="preserve">Enlightened Tutor</t>
  </si>
  <si>
    <t xml:space="preserve">Finds Exquisite Blood, Sanguine Bond or Aetherflux Reservoir.</t>
  </si>
  <si>
    <t xml:space="preserve">Anguished Unmaking</t>
  </si>
  <si>
    <t xml:space="preserve">Exiles any nonland permanent at instant speed.</t>
  </si>
  <si>
    <t xml:space="preserve">Benevolent Offering</t>
  </si>
  <si>
    <t xml:space="preserve">Makes Spirits and gains a chunk of life at instant speed.</t>
  </si>
  <si>
    <t xml:space="preserve">Fracture</t>
  </si>
  <si>
    <t xml:space="preserve">Answers an artifact, enchantment or planeswalker.</t>
  </si>
  <si>
    <t xml:space="preserve">Return to Dust</t>
  </si>
  <si>
    <t xml:space="preserve">Two-for-one artifact and enchantment removal at sorcery speed.</t>
  </si>
  <si>
    <t xml:space="preserve">Damn</t>
  </si>
  <si>
    <t xml:space="preserve">Sorcery</t>
  </si>
  <si>
    <t xml:space="preserve">Single-target destroy, or overload for a full wrath.</t>
  </si>
  <si>
    <t xml:space="preserve">Toxic Deluge</t>
  </si>
  <si>
    <t xml:space="preserve">Scalable wrath; your high life total pays the cost comfortably.</t>
  </si>
  <si>
    <t xml:space="preserve">Debt to the Deathless</t>
  </si>
  <si>
    <t xml:space="preserve">X-spell finisher that drains the table and refills your life total.</t>
  </si>
  <si>
    <t xml:space="preserve">Austere Command</t>
  </si>
  <si>
    <t xml:space="preserve">Modal wrath; pick the two halves that spare your board.</t>
  </si>
  <si>
    <t xml:space="preserve">Farewell</t>
  </si>
  <si>
    <t xml:space="preserve">Exile-based reset that answers graveyards as well.</t>
  </si>
  <si>
    <t xml:space="preserve">Damnation</t>
  </si>
  <si>
    <t xml:space="preserve">Unconditional black wrath with no regeneration.</t>
  </si>
  <si>
    <t xml:space="preserve">Lands</t>
  </si>
  <si>
    <t xml:space="preserve">Barren Moor</t>
  </si>
  <si>
    <t xml:space="preserve">Land</t>
  </si>
  <si>
    <t xml:space="preserve">Cycling land; taps for black.</t>
  </si>
  <si>
    <t xml:space="preserve">Radiant Fountain</t>
  </si>
  <si>
    <t xml:space="preserve">Gains two life on entry: a free Karlov trigger from a land drop.</t>
  </si>
  <si>
    <t xml:space="preserve">Tainted Field</t>
  </si>
  <si>
    <t xml:space="preserve">Taps for white with a Swamp in play.</t>
  </si>
  <si>
    <t xml:space="preserve">Secluded Steppe</t>
  </si>
  <si>
    <t xml:space="preserve">Cycling land; taps for white.</t>
  </si>
  <si>
    <t xml:space="preserve">Opal Palace</t>
  </si>
  <si>
    <t xml:space="preserve">Puts counters on Karlov when cast from the command zone.</t>
  </si>
  <si>
    <t xml:space="preserve">Cavern of Souls</t>
  </si>
  <si>
    <t xml:space="preserve">Names Advisor to make Karlov uncounterable.</t>
  </si>
  <si>
    <t xml:space="preserve">Rogue's Passage</t>
  </si>
  <si>
    <t xml:space="preserve">Pushes a lethal Karlov through any blocker.</t>
  </si>
  <si>
    <t xml:space="preserve">Temple of the False God</t>
  </si>
  <si>
    <t xml:space="preserve">Ramp land once you hit five lands.</t>
  </si>
  <si>
    <t xml:space="preserve">Caves of Koilos</t>
  </si>
  <si>
    <t xml:space="preserve">Pain land for W/B.</t>
  </si>
  <si>
    <t xml:space="preserve">Command Tower</t>
  </si>
  <si>
    <t xml:space="preserve">Taps for both your colours.</t>
  </si>
  <si>
    <t xml:space="preserve">Bojuka Bog</t>
  </si>
  <si>
    <t xml:space="preserve">Graveyard hate on a tapland.</t>
  </si>
  <si>
    <t xml:space="preserve">Reliquary Tower</t>
  </si>
  <si>
    <t xml:space="preserve">No maximum hand size for Necropotence and Well of Lost Dreams.</t>
  </si>
  <si>
    <t xml:space="preserve">Temple of Silence</t>
  </si>
  <si>
    <t xml:space="preserve">Scry land; smooths the draw.</t>
  </si>
  <si>
    <t xml:space="preserve">Vault of the Archangel</t>
  </si>
  <si>
    <t xml:space="preserve">Team deathtouch and lifelink: a huge pile of Karlov triggers in one attack.</t>
  </si>
  <si>
    <t xml:space="preserve">Concealed Courtyard</t>
  </si>
  <si>
    <t xml:space="preserve">Fast land; untapped for the first turns.</t>
  </si>
  <si>
    <t xml:space="preserve">Isolated Chapel</t>
  </si>
  <si>
    <t xml:space="preserve">Check land; untapped with a basic out.</t>
  </si>
  <si>
    <t xml:space="preserve">Fetid Heath</t>
  </si>
  <si>
    <t xml:space="preserve">Filter land; great with the double pips on Necropotence and Damnation.</t>
  </si>
  <si>
    <t xml:space="preserve">Shizo, Death's Storehouse</t>
  </si>
  <si>
    <t xml:space="preserve">Grants Karlov fear for an evasive kill.</t>
  </si>
  <si>
    <t xml:space="preserve">Godless Shrine</t>
  </si>
  <si>
    <t xml:space="preserve">Untapped W/B dual (shock land).</t>
  </si>
  <si>
    <t xml:space="preserve">Plains</t>
  </si>
  <si>
    <t xml:space="preserve">Owned</t>
  </si>
  <si>
    <t xml:space="preserve">Basic white source.</t>
  </si>
  <si>
    <t xml:space="preserve">Swamp</t>
  </si>
  <si>
    <t xml:space="preserve">Basic black source.</t>
  </si>
  <si>
    <t xml:space="preserve">Orzhov Lifegain &amp; Drain — Commander Deck Dashboard &amp; Analytics (v1)</t>
  </si>
  <si>
    <t xml:space="preserve">Key Deck Metrics</t>
  </si>
  <si>
    <t xml:space="preserve">Metric</t>
  </si>
  <si>
    <t xml:space="preserve">Value</t>
  </si>
  <si>
    <t xml:space="preserve">Total Cards</t>
  </si>
  <si>
    <t xml:space="preserve">Total Deck Cost (USD)</t>
  </si>
  <si>
    <t xml:space="preserve">USD → CAD Rate</t>
  </si>
  <si>
    <t xml:space="preserve">Total Deck Cost (CAD)</t>
  </si>
  <si>
    <t xml:space="preserve">Max Mana Value</t>
  </si>
  <si>
    <t xml:space="preserve">Avg Mana Value (Spells)</t>
  </si>
  <si>
    <t xml:space="preserve">Total Lands</t>
  </si>
  <si>
    <t xml:space="preserve">Basic Lands</t>
  </si>
  <si>
    <t xml:space="preserve">Lifegain Triggers (Engines + Payoffs)</t>
  </si>
  <si>
    <t xml:space="preserve">W/B Dual-Colour Cards</t>
  </si>
  <si>
    <t xml:space="preserve">Karlov's exile ability needs six counters, i.e. three life-gain triggers. The two combo pairs are Exquisite Blood + Sanguine Bond and Exquisite Blood + Vito / Vizkopa Guildmage.</t>
  </si>
  <si>
    <t xml:space="preserve">Mana Curve</t>
  </si>
  <si>
    <t xml:space="preserve">Count</t>
  </si>
  <si>
    <t xml:space="preserve">Category Breakdown</t>
  </si>
  <si>
    <t xml:space="preserve">Total</t>
  </si>
  <si>
    <t xml:space="preserve">Card Type Breakdown</t>
  </si>
  <si>
    <t xml:space="preserve">Notes on this sheet</t>
  </si>
  <si>
    <t xml:space="preserve">• Prices in Decklist column H are rough placeholder estimates only - update from TCGplayer / Face to Face before ordering.</t>
  </si>
  <si>
    <t xml:space="preserve">• Yellow cells are inputs. C9 (FX rate) is carried over from the Lorehold v15 and Seluma v1 builds at 1 USD = 1.4203 CAD.</t>
  </si>
  <si>
    <t xml:space="preserve">• Collection Status in column I is an input - everything is set to 'Needed' as a starting point; update it to 'Owned' or 'Owned (Other Deck)' as you check your binder.</t>
  </si>
  <si>
    <t xml:space="preserve">• The source list used 'U' for black mana pips (e.g. Necropotence as UUU). These have been read as {B}; colour identity in column F reflects the real Orzhov costs.</t>
  </si>
  <si>
    <t xml:space="preserve">• Two mana values were corrected against the printed cards: Damn is {1}{B}{B} (MV 3, listed as 2) and Fracture is {1}{W}{B} (MV 3, listed as 2).</t>
  </si>
  <si>
    <t xml:space="preserve">• Debt to the Deathless is counted at MV 4 with X = 0.</t>
  </si>
  <si>
    <t xml:space="preserve">• Land count is 37 (19 nonbasic + 7 Plains + 11 Swamp), and the deck totals exactly 100 cards with the commander.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</si>
</sst>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General"/>
    <numFmt numFmtId="167" formatCode="0.0000"/>
    <numFmt numFmtId="168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8B0000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sz val="11"/>
      <name val="Segoe UI"/>
      <family val="0"/>
      <charset val="1"/>
    </font>
    <font>
      <sz val="12"/>
      <color rgb="FF555555"/>
      <name val="Segoe UI"/>
      <family val="0"/>
      <charset val="1"/>
    </font>
    <font>
      <b val="true"/>
      <sz val="14"/>
      <color rgb="FF8B0000"/>
      <name val="Segoe UI"/>
      <family val="0"/>
      <charset val="1"/>
    </font>
    <font>
      <b val="true"/>
      <sz val="11"/>
      <name val="Segoe UI"/>
      <family val="0"/>
      <charset val="1"/>
    </font>
    <font>
      <i val="true"/>
      <sz val="9"/>
      <color rgb="FF777777"/>
      <name val="Segoe UI"/>
      <family val="0"/>
      <charset val="1"/>
    </font>
    <font>
      <sz val="10"/>
      <color rgb="FF555555"/>
      <name val="Segoe U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B0000"/>
        <bgColor rgb="FF800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8B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20.57"/>
    <col collapsed="false" customWidth="true" hidden="false" outlineLevel="0" max="10" min="10" style="0" width="94"/>
  </cols>
  <sheetData>
    <row r="1" customFormat="false" ht="22.05" hidden="false" customHeight="false" outlineLevel="0" collapsed="false">
      <c r="A1" s="1" t="s">
        <v>0</v>
      </c>
    </row>
    <row r="3" customFormat="false" ht="27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customFormat="false" ht="15" hidden="false" customHeight="false" outlineLevel="0" collapsed="false">
      <c r="A4" s="3" t="n">
        <v>1</v>
      </c>
      <c r="B4" s="4" t="s">
        <v>11</v>
      </c>
      <c r="C4" s="4" t="s">
        <v>12</v>
      </c>
      <c r="D4" s="4" t="s">
        <v>13</v>
      </c>
      <c r="E4" s="3" t="n">
        <v>2</v>
      </c>
      <c r="F4" s="3" t="s">
        <v>14</v>
      </c>
      <c r="G4" s="3" t="s">
        <v>15</v>
      </c>
      <c r="H4" s="5" t="n">
        <v>2</v>
      </c>
      <c r="I4" s="4" t="s">
        <v>16</v>
      </c>
      <c r="J4" s="6" t="s">
        <v>17</v>
      </c>
    </row>
    <row r="5" customFormat="false" ht="15" hidden="false" customHeight="false" outlineLevel="0" collapsed="false">
      <c r="A5" s="3" t="n">
        <v>1</v>
      </c>
      <c r="B5" s="4" t="s">
        <v>18</v>
      </c>
      <c r="C5" s="4" t="s">
        <v>19</v>
      </c>
      <c r="D5" s="4" t="s">
        <v>20</v>
      </c>
      <c r="E5" s="3" t="n">
        <v>4</v>
      </c>
      <c r="F5" s="3" t="s">
        <v>14</v>
      </c>
      <c r="G5" s="3" t="s">
        <v>21</v>
      </c>
      <c r="H5" s="5" t="n">
        <v>5</v>
      </c>
      <c r="I5" s="4" t="s">
        <v>16</v>
      </c>
      <c r="J5" s="6" t="s">
        <v>22</v>
      </c>
    </row>
    <row r="6" customFormat="false" ht="15" hidden="false" customHeight="false" outlineLevel="0" collapsed="false">
      <c r="A6" s="3" t="n">
        <v>1</v>
      </c>
      <c r="B6" s="4" t="s">
        <v>18</v>
      </c>
      <c r="C6" s="4" t="s">
        <v>23</v>
      </c>
      <c r="D6" s="4" t="s">
        <v>20</v>
      </c>
      <c r="E6" s="3" t="n">
        <v>4</v>
      </c>
      <c r="F6" s="3" t="s">
        <v>14</v>
      </c>
      <c r="G6" s="3" t="s">
        <v>15</v>
      </c>
      <c r="H6" s="5" t="n">
        <v>4</v>
      </c>
      <c r="I6" s="4" t="s">
        <v>16</v>
      </c>
      <c r="J6" s="6" t="s">
        <v>24</v>
      </c>
    </row>
    <row r="7" customFormat="false" ht="15" hidden="false" customHeight="false" outlineLevel="0" collapsed="false">
      <c r="A7" s="3" t="n">
        <v>1</v>
      </c>
      <c r="B7" s="4" t="s">
        <v>18</v>
      </c>
      <c r="C7" s="4" t="s">
        <v>25</v>
      </c>
      <c r="D7" s="4" t="s">
        <v>13</v>
      </c>
      <c r="E7" s="3" t="n">
        <v>1</v>
      </c>
      <c r="F7" s="3" t="s">
        <v>26</v>
      </c>
      <c r="G7" s="3" t="s">
        <v>21</v>
      </c>
      <c r="H7" s="5" t="n">
        <v>1</v>
      </c>
      <c r="I7" s="4" t="s">
        <v>16</v>
      </c>
      <c r="J7" s="6" t="s">
        <v>27</v>
      </c>
    </row>
    <row r="8" customFormat="false" ht="15" hidden="false" customHeight="false" outlineLevel="0" collapsed="false">
      <c r="A8" s="3" t="n">
        <v>1</v>
      </c>
      <c r="B8" s="4" t="s">
        <v>18</v>
      </c>
      <c r="C8" s="4" t="s">
        <v>28</v>
      </c>
      <c r="D8" s="4" t="s">
        <v>13</v>
      </c>
      <c r="E8" s="3" t="n">
        <v>1</v>
      </c>
      <c r="F8" s="3" t="s">
        <v>26</v>
      </c>
      <c r="G8" s="3" t="s">
        <v>21</v>
      </c>
      <c r="H8" s="5" t="n">
        <v>0.25</v>
      </c>
      <c r="I8" s="4" t="s">
        <v>16</v>
      </c>
      <c r="J8" s="6" t="s">
        <v>29</v>
      </c>
    </row>
    <row r="9" customFormat="false" ht="15" hidden="false" customHeight="false" outlineLevel="0" collapsed="false">
      <c r="A9" s="3" t="n">
        <v>1</v>
      </c>
      <c r="B9" s="4" t="s">
        <v>18</v>
      </c>
      <c r="C9" s="4" t="s">
        <v>30</v>
      </c>
      <c r="D9" s="4" t="s">
        <v>13</v>
      </c>
      <c r="E9" s="3" t="n">
        <v>1</v>
      </c>
      <c r="F9" s="3" t="s">
        <v>26</v>
      </c>
      <c r="G9" s="3" t="s">
        <v>21</v>
      </c>
      <c r="H9" s="5" t="n">
        <v>0.5</v>
      </c>
      <c r="I9" s="4" t="s">
        <v>16</v>
      </c>
      <c r="J9" s="6" t="s">
        <v>31</v>
      </c>
    </row>
    <row r="10" customFormat="false" ht="15" hidden="false" customHeight="false" outlineLevel="0" collapsed="false">
      <c r="A10" s="3" t="n">
        <v>1</v>
      </c>
      <c r="B10" s="4" t="s">
        <v>32</v>
      </c>
      <c r="C10" s="4" t="s">
        <v>33</v>
      </c>
      <c r="D10" s="4" t="s">
        <v>13</v>
      </c>
      <c r="E10" s="3" t="n">
        <v>1</v>
      </c>
      <c r="F10" s="3" t="s">
        <v>26</v>
      </c>
      <c r="G10" s="3" t="s">
        <v>21</v>
      </c>
      <c r="H10" s="5" t="n">
        <v>8</v>
      </c>
      <c r="I10" s="4" t="s">
        <v>16</v>
      </c>
      <c r="J10" s="6" t="s">
        <v>34</v>
      </c>
    </row>
    <row r="11" customFormat="false" ht="15" hidden="false" customHeight="false" outlineLevel="0" collapsed="false">
      <c r="A11" s="3" t="n">
        <v>1</v>
      </c>
      <c r="B11" s="4" t="s">
        <v>35</v>
      </c>
      <c r="C11" s="4" t="s">
        <v>36</v>
      </c>
      <c r="D11" s="4" t="s">
        <v>13</v>
      </c>
      <c r="E11" s="3" t="n">
        <v>1</v>
      </c>
      <c r="F11" s="3" t="s">
        <v>26</v>
      </c>
      <c r="G11" s="3" t="s">
        <v>21</v>
      </c>
      <c r="H11" s="5" t="n">
        <v>6</v>
      </c>
      <c r="I11" s="4" t="s">
        <v>16</v>
      </c>
      <c r="J11" s="6" t="s">
        <v>37</v>
      </c>
    </row>
    <row r="12" customFormat="false" ht="15" hidden="false" customHeight="false" outlineLevel="0" collapsed="false">
      <c r="A12" s="3" t="n">
        <v>1</v>
      </c>
      <c r="B12" s="4" t="s">
        <v>35</v>
      </c>
      <c r="C12" s="4" t="s">
        <v>38</v>
      </c>
      <c r="D12" s="4" t="s">
        <v>13</v>
      </c>
      <c r="E12" s="3" t="n">
        <v>2</v>
      </c>
      <c r="F12" s="3" t="s">
        <v>14</v>
      </c>
      <c r="G12" s="3" t="s">
        <v>21</v>
      </c>
      <c r="H12" s="5" t="n">
        <v>4</v>
      </c>
      <c r="I12" s="4" t="s">
        <v>16</v>
      </c>
      <c r="J12" s="6" t="s">
        <v>39</v>
      </c>
    </row>
    <row r="13" customFormat="false" ht="15" hidden="false" customHeight="false" outlineLevel="0" collapsed="false">
      <c r="A13" s="3" t="n">
        <v>1</v>
      </c>
      <c r="B13" s="4" t="s">
        <v>35</v>
      </c>
      <c r="C13" s="4" t="s">
        <v>40</v>
      </c>
      <c r="D13" s="4" t="s">
        <v>13</v>
      </c>
      <c r="E13" s="3" t="n">
        <v>2</v>
      </c>
      <c r="F13" s="3" t="s">
        <v>14</v>
      </c>
      <c r="G13" s="3" t="s">
        <v>15</v>
      </c>
      <c r="H13" s="5" t="n">
        <v>1</v>
      </c>
      <c r="I13" s="4" t="s">
        <v>16</v>
      </c>
      <c r="J13" s="6" t="s">
        <v>41</v>
      </c>
    </row>
    <row r="14" customFormat="false" ht="15" hidden="false" customHeight="false" outlineLevel="0" collapsed="false">
      <c r="A14" s="3" t="n">
        <v>1</v>
      </c>
      <c r="B14" s="4" t="s">
        <v>35</v>
      </c>
      <c r="C14" s="4" t="s">
        <v>42</v>
      </c>
      <c r="D14" s="4" t="s">
        <v>13</v>
      </c>
      <c r="E14" s="3" t="n">
        <v>2</v>
      </c>
      <c r="F14" s="3" t="s">
        <v>43</v>
      </c>
      <c r="G14" s="3" t="s">
        <v>15</v>
      </c>
      <c r="H14" s="5" t="n">
        <v>2</v>
      </c>
      <c r="I14" s="4" t="s">
        <v>16</v>
      </c>
      <c r="J14" s="6" t="s">
        <v>44</v>
      </c>
    </row>
    <row r="15" customFormat="false" ht="15" hidden="false" customHeight="false" outlineLevel="0" collapsed="false">
      <c r="A15" s="3" t="n">
        <v>1</v>
      </c>
      <c r="B15" s="4" t="s">
        <v>18</v>
      </c>
      <c r="C15" s="4" t="s">
        <v>45</v>
      </c>
      <c r="D15" s="4" t="s">
        <v>13</v>
      </c>
      <c r="E15" s="3" t="n">
        <v>2</v>
      </c>
      <c r="F15" s="3" t="s">
        <v>26</v>
      </c>
      <c r="G15" s="3" t="s">
        <v>21</v>
      </c>
      <c r="H15" s="5" t="n">
        <v>1.5</v>
      </c>
      <c r="I15" s="4" t="s">
        <v>16</v>
      </c>
      <c r="J15" s="6" t="s">
        <v>46</v>
      </c>
    </row>
    <row r="16" customFormat="false" ht="15" hidden="false" customHeight="false" outlineLevel="0" collapsed="false">
      <c r="A16" s="3" t="n">
        <v>1</v>
      </c>
      <c r="B16" s="4" t="s">
        <v>18</v>
      </c>
      <c r="C16" s="4" t="s">
        <v>47</v>
      </c>
      <c r="D16" s="4" t="s">
        <v>13</v>
      </c>
      <c r="E16" s="3" t="n">
        <v>2</v>
      </c>
      <c r="F16" s="3" t="s">
        <v>26</v>
      </c>
      <c r="G16" s="3" t="s">
        <v>21</v>
      </c>
      <c r="H16" s="5" t="n">
        <v>20</v>
      </c>
      <c r="I16" s="4" t="s">
        <v>16</v>
      </c>
      <c r="J16" s="6" t="s">
        <v>48</v>
      </c>
    </row>
    <row r="17" customFormat="false" ht="15" hidden="false" customHeight="false" outlineLevel="0" collapsed="false">
      <c r="A17" s="3" t="n">
        <v>1</v>
      </c>
      <c r="B17" s="4" t="s">
        <v>18</v>
      </c>
      <c r="C17" s="4" t="s">
        <v>49</v>
      </c>
      <c r="D17" s="4" t="s">
        <v>13</v>
      </c>
      <c r="E17" s="3" t="n">
        <v>2</v>
      </c>
      <c r="F17" s="3" t="s">
        <v>26</v>
      </c>
      <c r="G17" s="3" t="s">
        <v>21</v>
      </c>
      <c r="H17" s="5" t="n">
        <v>1</v>
      </c>
      <c r="I17" s="4" t="s">
        <v>16</v>
      </c>
      <c r="J17" s="6" t="s">
        <v>50</v>
      </c>
    </row>
    <row r="18" customFormat="false" ht="15" hidden="false" customHeight="false" outlineLevel="0" collapsed="false">
      <c r="A18" s="3" t="n">
        <v>1</v>
      </c>
      <c r="B18" s="4" t="s">
        <v>35</v>
      </c>
      <c r="C18" s="4" t="s">
        <v>51</v>
      </c>
      <c r="D18" s="4" t="s">
        <v>13</v>
      </c>
      <c r="E18" s="3" t="n">
        <v>4</v>
      </c>
      <c r="F18" s="3" t="s">
        <v>14</v>
      </c>
      <c r="G18" s="3" t="s">
        <v>21</v>
      </c>
      <c r="H18" s="5" t="n">
        <v>0.25</v>
      </c>
      <c r="I18" s="4" t="s">
        <v>16</v>
      </c>
      <c r="J18" s="6" t="s">
        <v>52</v>
      </c>
    </row>
    <row r="19" customFormat="false" ht="15" hidden="false" customHeight="false" outlineLevel="0" collapsed="false">
      <c r="A19" s="3" t="n">
        <v>1</v>
      </c>
      <c r="B19" s="4" t="s">
        <v>35</v>
      </c>
      <c r="C19" s="4" t="s">
        <v>53</v>
      </c>
      <c r="D19" s="4" t="s">
        <v>13</v>
      </c>
      <c r="E19" s="3" t="n">
        <v>2</v>
      </c>
      <c r="F19" s="3" t="s">
        <v>26</v>
      </c>
      <c r="G19" s="3" t="s">
        <v>21</v>
      </c>
      <c r="H19" s="5" t="n">
        <v>1</v>
      </c>
      <c r="I19" s="4" t="s">
        <v>16</v>
      </c>
      <c r="J19" s="6" t="s">
        <v>54</v>
      </c>
    </row>
    <row r="20" customFormat="false" ht="15" hidden="false" customHeight="false" outlineLevel="0" collapsed="false">
      <c r="A20" s="3" t="n">
        <v>1</v>
      </c>
      <c r="B20" s="4" t="s">
        <v>35</v>
      </c>
      <c r="C20" s="4" t="s">
        <v>55</v>
      </c>
      <c r="D20" s="4" t="s">
        <v>13</v>
      </c>
      <c r="E20" s="3" t="n">
        <v>3</v>
      </c>
      <c r="F20" s="3" t="s">
        <v>14</v>
      </c>
      <c r="G20" s="3" t="s">
        <v>21</v>
      </c>
      <c r="H20" s="5" t="n">
        <v>0.5</v>
      </c>
      <c r="I20" s="4" t="s">
        <v>16</v>
      </c>
      <c r="J20" s="6" t="s">
        <v>56</v>
      </c>
    </row>
    <row r="21" customFormat="false" ht="15" hidden="false" customHeight="false" outlineLevel="0" collapsed="false">
      <c r="A21" s="3" t="n">
        <v>1</v>
      </c>
      <c r="B21" s="4" t="s">
        <v>35</v>
      </c>
      <c r="C21" s="4" t="s">
        <v>57</v>
      </c>
      <c r="D21" s="4" t="s">
        <v>13</v>
      </c>
      <c r="E21" s="3" t="n">
        <v>3</v>
      </c>
      <c r="F21" s="3" t="s">
        <v>43</v>
      </c>
      <c r="G21" s="3" t="s">
        <v>21</v>
      </c>
      <c r="H21" s="5" t="n">
        <v>0.5</v>
      </c>
      <c r="I21" s="4" t="s">
        <v>16</v>
      </c>
      <c r="J21" s="6" t="s">
        <v>58</v>
      </c>
    </row>
    <row r="22" customFormat="false" ht="15" hidden="false" customHeight="false" outlineLevel="0" collapsed="false">
      <c r="A22" s="3" t="n">
        <v>1</v>
      </c>
      <c r="B22" s="4" t="s">
        <v>35</v>
      </c>
      <c r="C22" s="4" t="s">
        <v>59</v>
      </c>
      <c r="D22" s="4" t="s">
        <v>13</v>
      </c>
      <c r="E22" s="3" t="n">
        <v>3</v>
      </c>
      <c r="F22" s="3" t="s">
        <v>14</v>
      </c>
      <c r="G22" s="3" t="s">
        <v>21</v>
      </c>
      <c r="H22" s="5" t="n">
        <v>3</v>
      </c>
      <c r="I22" s="4" t="s">
        <v>16</v>
      </c>
      <c r="J22" s="6" t="s">
        <v>60</v>
      </c>
    </row>
    <row r="23" customFormat="false" ht="15" hidden="false" customHeight="false" outlineLevel="0" collapsed="false">
      <c r="A23" s="3" t="n">
        <v>1</v>
      </c>
      <c r="B23" s="4" t="s">
        <v>61</v>
      </c>
      <c r="C23" s="4" t="s">
        <v>62</v>
      </c>
      <c r="D23" s="4" t="s">
        <v>13</v>
      </c>
      <c r="E23" s="3" t="n">
        <v>3</v>
      </c>
      <c r="F23" s="3" t="s">
        <v>14</v>
      </c>
      <c r="G23" s="3" t="s">
        <v>21</v>
      </c>
      <c r="H23" s="5" t="n">
        <v>4</v>
      </c>
      <c r="I23" s="4" t="s">
        <v>16</v>
      </c>
      <c r="J23" s="6" t="s">
        <v>63</v>
      </c>
    </row>
    <row r="24" customFormat="false" ht="15" hidden="false" customHeight="false" outlineLevel="0" collapsed="false">
      <c r="A24" s="3" t="n">
        <v>1</v>
      </c>
      <c r="B24" s="4" t="s">
        <v>35</v>
      </c>
      <c r="C24" s="4" t="s">
        <v>64</v>
      </c>
      <c r="D24" s="4" t="s">
        <v>13</v>
      </c>
      <c r="E24" s="3" t="n">
        <v>3</v>
      </c>
      <c r="F24" s="3" t="s">
        <v>43</v>
      </c>
      <c r="G24" s="3" t="s">
        <v>15</v>
      </c>
      <c r="H24" s="5" t="n">
        <v>5</v>
      </c>
      <c r="I24" s="4" t="s">
        <v>16</v>
      </c>
      <c r="J24" s="6" t="s">
        <v>65</v>
      </c>
    </row>
    <row r="25" customFormat="false" ht="15" hidden="false" customHeight="false" outlineLevel="0" collapsed="false">
      <c r="A25" s="3" t="n">
        <v>1</v>
      </c>
      <c r="B25" s="4" t="s">
        <v>61</v>
      </c>
      <c r="C25" s="4" t="s">
        <v>66</v>
      </c>
      <c r="D25" s="4" t="s">
        <v>13</v>
      </c>
      <c r="E25" s="3" t="n">
        <v>4</v>
      </c>
      <c r="F25" s="3" t="s">
        <v>26</v>
      </c>
      <c r="G25" s="3" t="s">
        <v>21</v>
      </c>
      <c r="H25" s="5" t="n">
        <v>2</v>
      </c>
      <c r="I25" s="4" t="s">
        <v>16</v>
      </c>
      <c r="J25" s="6" t="s">
        <v>67</v>
      </c>
    </row>
    <row r="26" customFormat="false" ht="15" hidden="false" customHeight="false" outlineLevel="0" collapsed="false">
      <c r="A26" s="3" t="n">
        <v>1</v>
      </c>
      <c r="B26" s="4" t="s">
        <v>18</v>
      </c>
      <c r="C26" s="4" t="s">
        <v>68</v>
      </c>
      <c r="D26" s="4" t="s">
        <v>13</v>
      </c>
      <c r="E26" s="3" t="n">
        <v>4</v>
      </c>
      <c r="F26" s="3" t="s">
        <v>43</v>
      </c>
      <c r="G26" s="3" t="s">
        <v>21</v>
      </c>
      <c r="H26" s="5" t="n">
        <v>10</v>
      </c>
      <c r="I26" s="4" t="s">
        <v>16</v>
      </c>
      <c r="J26" s="6" t="s">
        <v>69</v>
      </c>
    </row>
    <row r="27" customFormat="false" ht="15" hidden="false" customHeight="false" outlineLevel="0" collapsed="false">
      <c r="A27" s="3" t="n">
        <v>1</v>
      </c>
      <c r="B27" s="4" t="s">
        <v>18</v>
      </c>
      <c r="C27" s="4" t="s">
        <v>70</v>
      </c>
      <c r="D27" s="4" t="s">
        <v>13</v>
      </c>
      <c r="E27" s="3" t="n">
        <v>5</v>
      </c>
      <c r="F27" s="3" t="s">
        <v>26</v>
      </c>
      <c r="G27" s="3" t="s">
        <v>21</v>
      </c>
      <c r="H27" s="5" t="n">
        <v>0.5</v>
      </c>
      <c r="I27" s="4" t="s">
        <v>16</v>
      </c>
      <c r="J27" s="6" t="s">
        <v>71</v>
      </c>
    </row>
    <row r="28" customFormat="false" ht="15" hidden="false" customHeight="false" outlineLevel="0" collapsed="false">
      <c r="A28" s="3" t="n">
        <v>1</v>
      </c>
      <c r="B28" s="4" t="s">
        <v>35</v>
      </c>
      <c r="C28" s="4" t="s">
        <v>72</v>
      </c>
      <c r="D28" s="4" t="s">
        <v>13</v>
      </c>
      <c r="E28" s="3" t="n">
        <v>5</v>
      </c>
      <c r="F28" s="3" t="s">
        <v>26</v>
      </c>
      <c r="G28" s="3" t="s">
        <v>15</v>
      </c>
      <c r="H28" s="5" t="n">
        <v>12</v>
      </c>
      <c r="I28" s="4" t="s">
        <v>16</v>
      </c>
      <c r="J28" s="6" t="s">
        <v>73</v>
      </c>
    </row>
    <row r="29" customFormat="false" ht="15" hidden="false" customHeight="false" outlineLevel="0" collapsed="false">
      <c r="A29" s="3" t="n">
        <v>1</v>
      </c>
      <c r="B29" s="4" t="s">
        <v>35</v>
      </c>
      <c r="C29" s="4" t="s">
        <v>74</v>
      </c>
      <c r="D29" s="4" t="s">
        <v>13</v>
      </c>
      <c r="E29" s="3" t="n">
        <v>5</v>
      </c>
      <c r="F29" s="3" t="s">
        <v>43</v>
      </c>
      <c r="G29" s="3" t="s">
        <v>21</v>
      </c>
      <c r="H29" s="5" t="n">
        <v>3</v>
      </c>
      <c r="I29" s="4" t="s">
        <v>16</v>
      </c>
      <c r="J29" s="6" t="s">
        <v>75</v>
      </c>
    </row>
    <row r="30" customFormat="false" ht="15" hidden="false" customHeight="false" outlineLevel="0" collapsed="false">
      <c r="A30" s="3" t="n">
        <v>1</v>
      </c>
      <c r="B30" s="4" t="s">
        <v>35</v>
      </c>
      <c r="C30" s="4" t="s">
        <v>76</v>
      </c>
      <c r="D30" s="4" t="s">
        <v>13</v>
      </c>
      <c r="E30" s="3" t="n">
        <v>6</v>
      </c>
      <c r="F30" s="3" t="s">
        <v>26</v>
      </c>
      <c r="G30" s="3" t="s">
        <v>21</v>
      </c>
      <c r="H30" s="5" t="n">
        <v>3</v>
      </c>
      <c r="I30" s="4" t="s">
        <v>16</v>
      </c>
      <c r="J30" s="6" t="s">
        <v>77</v>
      </c>
    </row>
    <row r="31" customFormat="false" ht="15" hidden="false" customHeight="false" outlineLevel="0" collapsed="false">
      <c r="A31" s="3" t="n">
        <v>1</v>
      </c>
      <c r="B31" s="4" t="s">
        <v>61</v>
      </c>
      <c r="C31" s="4" t="s">
        <v>78</v>
      </c>
      <c r="D31" s="4" t="s">
        <v>13</v>
      </c>
      <c r="E31" s="3" t="n">
        <v>6</v>
      </c>
      <c r="F31" s="3" t="s">
        <v>26</v>
      </c>
      <c r="G31" s="3" t="s">
        <v>21</v>
      </c>
      <c r="H31" s="5" t="n">
        <v>2</v>
      </c>
      <c r="I31" s="4" t="s">
        <v>16</v>
      </c>
      <c r="J31" s="6" t="s">
        <v>79</v>
      </c>
    </row>
    <row r="32" customFormat="false" ht="15" hidden="false" customHeight="false" outlineLevel="0" collapsed="false">
      <c r="A32" s="3" t="n">
        <v>1</v>
      </c>
      <c r="B32" s="4" t="s">
        <v>61</v>
      </c>
      <c r="C32" s="4" t="s">
        <v>80</v>
      </c>
      <c r="D32" s="4" t="s">
        <v>81</v>
      </c>
      <c r="E32" s="3" t="n">
        <v>1</v>
      </c>
      <c r="F32" s="3" t="s">
        <v>82</v>
      </c>
      <c r="G32" s="3" t="s">
        <v>21</v>
      </c>
      <c r="H32" s="5" t="n">
        <v>25</v>
      </c>
      <c r="I32" s="4" t="s">
        <v>16</v>
      </c>
      <c r="J32" s="6" t="s">
        <v>83</v>
      </c>
    </row>
    <row r="33" customFormat="false" ht="15" hidden="false" customHeight="false" outlineLevel="0" collapsed="false">
      <c r="A33" s="3" t="n">
        <v>1</v>
      </c>
      <c r="B33" s="4" t="s">
        <v>18</v>
      </c>
      <c r="C33" s="4" t="s">
        <v>84</v>
      </c>
      <c r="D33" s="4" t="s">
        <v>81</v>
      </c>
      <c r="E33" s="3" t="n">
        <v>1</v>
      </c>
      <c r="F33" s="3" t="s">
        <v>82</v>
      </c>
      <c r="G33" s="3" t="s">
        <v>21</v>
      </c>
      <c r="H33" s="5" t="n">
        <v>0.25</v>
      </c>
      <c r="I33" s="4" t="s">
        <v>16</v>
      </c>
      <c r="J33" s="6" t="s">
        <v>85</v>
      </c>
    </row>
    <row r="34" customFormat="false" ht="15" hidden="false" customHeight="false" outlineLevel="0" collapsed="false">
      <c r="A34" s="3" t="n">
        <v>1</v>
      </c>
      <c r="B34" s="4" t="s">
        <v>86</v>
      </c>
      <c r="C34" s="4" t="s">
        <v>87</v>
      </c>
      <c r="D34" s="4" t="s">
        <v>81</v>
      </c>
      <c r="E34" s="3" t="n">
        <v>1</v>
      </c>
      <c r="F34" s="3" t="s">
        <v>82</v>
      </c>
      <c r="G34" s="3" t="s">
        <v>21</v>
      </c>
      <c r="H34" s="5" t="n">
        <v>2</v>
      </c>
      <c r="I34" s="4" t="s">
        <v>16</v>
      </c>
      <c r="J34" s="6" t="s">
        <v>88</v>
      </c>
    </row>
    <row r="35" customFormat="false" ht="15" hidden="false" customHeight="false" outlineLevel="0" collapsed="false">
      <c r="A35" s="3" t="n">
        <v>1</v>
      </c>
      <c r="B35" s="4" t="s">
        <v>86</v>
      </c>
      <c r="C35" s="4" t="s">
        <v>89</v>
      </c>
      <c r="D35" s="4" t="s">
        <v>81</v>
      </c>
      <c r="E35" s="3" t="n">
        <v>2</v>
      </c>
      <c r="F35" s="3" t="s">
        <v>82</v>
      </c>
      <c r="G35" s="3" t="s">
        <v>21</v>
      </c>
      <c r="H35" s="5" t="n">
        <v>1</v>
      </c>
      <c r="I35" s="4" t="s">
        <v>16</v>
      </c>
      <c r="J35" s="6" t="s">
        <v>90</v>
      </c>
    </row>
    <row r="36" customFormat="false" ht="15" hidden="false" customHeight="false" outlineLevel="0" collapsed="false">
      <c r="A36" s="3" t="n">
        <v>1</v>
      </c>
      <c r="B36" s="4" t="s">
        <v>32</v>
      </c>
      <c r="C36" s="4" t="s">
        <v>91</v>
      </c>
      <c r="D36" s="4" t="s">
        <v>81</v>
      </c>
      <c r="E36" s="3" t="n">
        <v>2</v>
      </c>
      <c r="F36" s="3" t="s">
        <v>82</v>
      </c>
      <c r="G36" s="3" t="s">
        <v>21</v>
      </c>
      <c r="H36" s="5" t="n">
        <v>2</v>
      </c>
      <c r="I36" s="4" t="s">
        <v>16</v>
      </c>
      <c r="J36" s="6" t="s">
        <v>92</v>
      </c>
    </row>
    <row r="37" customFormat="false" ht="15" hidden="false" customHeight="false" outlineLevel="0" collapsed="false">
      <c r="A37" s="3" t="n">
        <v>1</v>
      </c>
      <c r="B37" s="4" t="s">
        <v>32</v>
      </c>
      <c r="C37" s="4" t="s">
        <v>93</v>
      </c>
      <c r="D37" s="4" t="s">
        <v>81</v>
      </c>
      <c r="E37" s="3" t="n">
        <v>2</v>
      </c>
      <c r="F37" s="3" t="s">
        <v>82</v>
      </c>
      <c r="G37" s="3" t="s">
        <v>21</v>
      </c>
      <c r="H37" s="5" t="n">
        <v>3</v>
      </c>
      <c r="I37" s="4" t="s">
        <v>16</v>
      </c>
      <c r="J37" s="6" t="s">
        <v>94</v>
      </c>
    </row>
    <row r="38" customFormat="false" ht="15" hidden="false" customHeight="false" outlineLevel="0" collapsed="false">
      <c r="A38" s="3" t="n">
        <v>1</v>
      </c>
      <c r="B38" s="4" t="s">
        <v>32</v>
      </c>
      <c r="C38" s="4" t="s">
        <v>95</v>
      </c>
      <c r="D38" s="4" t="s">
        <v>81</v>
      </c>
      <c r="E38" s="3" t="n">
        <v>2</v>
      </c>
      <c r="F38" s="3" t="s">
        <v>82</v>
      </c>
      <c r="G38" s="3" t="s">
        <v>21</v>
      </c>
      <c r="H38" s="5" t="n">
        <v>25</v>
      </c>
      <c r="I38" s="4" t="s">
        <v>16</v>
      </c>
      <c r="J38" s="6" t="s">
        <v>96</v>
      </c>
    </row>
    <row r="39" customFormat="false" ht="15" hidden="false" customHeight="false" outlineLevel="0" collapsed="false">
      <c r="A39" s="3" t="n">
        <v>1</v>
      </c>
      <c r="B39" s="4" t="s">
        <v>86</v>
      </c>
      <c r="C39" s="4" t="s">
        <v>97</v>
      </c>
      <c r="D39" s="4" t="s">
        <v>81</v>
      </c>
      <c r="E39" s="3" t="n">
        <v>3</v>
      </c>
      <c r="F39" s="3" t="s">
        <v>82</v>
      </c>
      <c r="G39" s="3" t="s">
        <v>21</v>
      </c>
      <c r="H39" s="5" t="n">
        <v>0.5</v>
      </c>
      <c r="I39" s="4" t="s">
        <v>16</v>
      </c>
      <c r="J39" s="6" t="s">
        <v>98</v>
      </c>
    </row>
    <row r="40" customFormat="false" ht="15" hidden="false" customHeight="false" outlineLevel="0" collapsed="false">
      <c r="A40" s="3" t="n">
        <v>1</v>
      </c>
      <c r="B40" s="4" t="s">
        <v>32</v>
      </c>
      <c r="C40" s="4" t="s">
        <v>99</v>
      </c>
      <c r="D40" s="4" t="s">
        <v>81</v>
      </c>
      <c r="E40" s="3" t="n">
        <v>3</v>
      </c>
      <c r="F40" s="3" t="s">
        <v>82</v>
      </c>
      <c r="G40" s="3" t="s">
        <v>21</v>
      </c>
      <c r="H40" s="5" t="n">
        <v>2</v>
      </c>
      <c r="I40" s="4" t="s">
        <v>16</v>
      </c>
      <c r="J40" s="6" t="s">
        <v>100</v>
      </c>
    </row>
    <row r="41" customFormat="false" ht="15" hidden="false" customHeight="false" outlineLevel="0" collapsed="false">
      <c r="A41" s="3" t="n">
        <v>1</v>
      </c>
      <c r="B41" s="4" t="s">
        <v>61</v>
      </c>
      <c r="C41" s="4" t="s">
        <v>101</v>
      </c>
      <c r="D41" s="4" t="s">
        <v>81</v>
      </c>
      <c r="E41" s="3" t="n">
        <v>4</v>
      </c>
      <c r="F41" s="3" t="s">
        <v>82</v>
      </c>
      <c r="G41" s="3" t="s">
        <v>21</v>
      </c>
      <c r="H41" s="5" t="n">
        <v>2</v>
      </c>
      <c r="I41" s="4" t="s">
        <v>16</v>
      </c>
      <c r="J41" s="6" t="s">
        <v>102</v>
      </c>
    </row>
    <row r="42" customFormat="false" ht="15" hidden="false" customHeight="false" outlineLevel="0" collapsed="false">
      <c r="A42" s="3" t="n">
        <v>1</v>
      </c>
      <c r="B42" s="4" t="s">
        <v>61</v>
      </c>
      <c r="C42" s="4" t="s">
        <v>103</v>
      </c>
      <c r="D42" s="4" t="s">
        <v>81</v>
      </c>
      <c r="E42" s="3" t="n">
        <v>4</v>
      </c>
      <c r="F42" s="3" t="s">
        <v>82</v>
      </c>
      <c r="G42" s="3" t="s">
        <v>21</v>
      </c>
      <c r="H42" s="5" t="n">
        <v>6</v>
      </c>
      <c r="I42" s="4" t="s">
        <v>16</v>
      </c>
      <c r="J42" s="6" t="s">
        <v>104</v>
      </c>
    </row>
    <row r="43" customFormat="false" ht="15" hidden="false" customHeight="false" outlineLevel="0" collapsed="false">
      <c r="A43" s="3" t="n">
        <v>1</v>
      </c>
      <c r="B43" s="4" t="s">
        <v>35</v>
      </c>
      <c r="C43" s="4" t="s">
        <v>105</v>
      </c>
      <c r="D43" s="4" t="s">
        <v>81</v>
      </c>
      <c r="E43" s="3" t="n">
        <v>4</v>
      </c>
      <c r="F43" s="3" t="s">
        <v>82</v>
      </c>
      <c r="G43" s="3" t="s">
        <v>15</v>
      </c>
      <c r="H43" s="5" t="n">
        <v>6</v>
      </c>
      <c r="I43" s="4" t="s">
        <v>16</v>
      </c>
      <c r="J43" s="6" t="s">
        <v>106</v>
      </c>
    </row>
    <row r="44" customFormat="false" ht="15" hidden="false" customHeight="false" outlineLevel="0" collapsed="false">
      <c r="A44" s="3" t="n">
        <v>1</v>
      </c>
      <c r="B44" s="4" t="s">
        <v>61</v>
      </c>
      <c r="C44" s="4" t="s">
        <v>107</v>
      </c>
      <c r="D44" s="4" t="s">
        <v>108</v>
      </c>
      <c r="E44" s="3" t="n">
        <v>1</v>
      </c>
      <c r="F44" s="3" t="s">
        <v>43</v>
      </c>
      <c r="G44" s="3" t="s">
        <v>21</v>
      </c>
      <c r="H44" s="5" t="n">
        <v>2</v>
      </c>
      <c r="I44" s="4" t="s">
        <v>16</v>
      </c>
      <c r="J44" s="6" t="s">
        <v>109</v>
      </c>
    </row>
    <row r="45" customFormat="false" ht="15" hidden="false" customHeight="false" outlineLevel="0" collapsed="false">
      <c r="A45" s="3" t="n">
        <v>1</v>
      </c>
      <c r="B45" s="4" t="s">
        <v>18</v>
      </c>
      <c r="C45" s="4" t="s">
        <v>110</v>
      </c>
      <c r="D45" s="4" t="s">
        <v>108</v>
      </c>
      <c r="E45" s="3" t="n">
        <v>1</v>
      </c>
      <c r="F45" s="3" t="s">
        <v>26</v>
      </c>
      <c r="G45" s="3" t="s">
        <v>21</v>
      </c>
      <c r="H45" s="5" t="n">
        <v>4</v>
      </c>
      <c r="I45" s="4" t="s">
        <v>16</v>
      </c>
      <c r="J45" s="6" t="s">
        <v>111</v>
      </c>
    </row>
    <row r="46" customFormat="false" ht="15" hidden="false" customHeight="false" outlineLevel="0" collapsed="false">
      <c r="A46" s="3" t="n">
        <v>1</v>
      </c>
      <c r="B46" s="4" t="s">
        <v>61</v>
      </c>
      <c r="C46" s="4" t="s">
        <v>112</v>
      </c>
      <c r="D46" s="4" t="s">
        <v>108</v>
      </c>
      <c r="E46" s="3" t="n">
        <v>2</v>
      </c>
      <c r="F46" s="3" t="s">
        <v>26</v>
      </c>
      <c r="G46" s="3" t="s">
        <v>21</v>
      </c>
      <c r="H46" s="5" t="n">
        <v>1</v>
      </c>
      <c r="I46" s="4" t="s">
        <v>16</v>
      </c>
      <c r="J46" s="6" t="s">
        <v>113</v>
      </c>
    </row>
    <row r="47" customFormat="false" ht="15" hidden="false" customHeight="false" outlineLevel="0" collapsed="false">
      <c r="A47" s="3" t="n">
        <v>1</v>
      </c>
      <c r="B47" s="4" t="s">
        <v>86</v>
      </c>
      <c r="C47" s="4" t="s">
        <v>114</v>
      </c>
      <c r="D47" s="4" t="s">
        <v>108</v>
      </c>
      <c r="E47" s="3" t="n">
        <v>1</v>
      </c>
      <c r="F47" s="3" t="s">
        <v>26</v>
      </c>
      <c r="G47" s="3" t="s">
        <v>21</v>
      </c>
      <c r="H47" s="5" t="n">
        <v>10</v>
      </c>
      <c r="I47" s="4" t="s">
        <v>16</v>
      </c>
      <c r="J47" s="6" t="s">
        <v>115</v>
      </c>
    </row>
    <row r="48" customFormat="false" ht="15" hidden="false" customHeight="false" outlineLevel="0" collapsed="false">
      <c r="A48" s="3" t="n">
        <v>1</v>
      </c>
      <c r="B48" s="4" t="s">
        <v>18</v>
      </c>
      <c r="C48" s="4" t="s">
        <v>116</v>
      </c>
      <c r="D48" s="4" t="s">
        <v>108</v>
      </c>
      <c r="E48" s="3" t="n">
        <v>2</v>
      </c>
      <c r="F48" s="3" t="s">
        <v>26</v>
      </c>
      <c r="G48" s="3" t="s">
        <v>21</v>
      </c>
      <c r="H48" s="5" t="n">
        <v>0.25</v>
      </c>
      <c r="I48" s="4" t="s">
        <v>16</v>
      </c>
      <c r="J48" s="6" t="s">
        <v>117</v>
      </c>
    </row>
    <row r="49" customFormat="false" ht="15" hidden="false" customHeight="false" outlineLevel="0" collapsed="false">
      <c r="A49" s="3" t="n">
        <v>1</v>
      </c>
      <c r="B49" s="4" t="s">
        <v>18</v>
      </c>
      <c r="C49" s="4" t="s">
        <v>118</v>
      </c>
      <c r="D49" s="4" t="s">
        <v>108</v>
      </c>
      <c r="E49" s="3" t="n">
        <v>2</v>
      </c>
      <c r="F49" s="3" t="s">
        <v>26</v>
      </c>
      <c r="G49" s="3" t="s">
        <v>21</v>
      </c>
      <c r="H49" s="5" t="n">
        <v>2</v>
      </c>
      <c r="I49" s="4" t="s">
        <v>16</v>
      </c>
      <c r="J49" s="6" t="s">
        <v>119</v>
      </c>
    </row>
    <row r="50" customFormat="false" ht="15" hidden="false" customHeight="false" outlineLevel="0" collapsed="false">
      <c r="A50" s="3" t="n">
        <v>1</v>
      </c>
      <c r="B50" s="4" t="s">
        <v>61</v>
      </c>
      <c r="C50" s="4" t="s">
        <v>120</v>
      </c>
      <c r="D50" s="4" t="s">
        <v>108</v>
      </c>
      <c r="E50" s="3" t="n">
        <v>3</v>
      </c>
      <c r="F50" s="3" t="s">
        <v>43</v>
      </c>
      <c r="G50" s="3" t="s">
        <v>21</v>
      </c>
      <c r="H50" s="5" t="n">
        <v>15</v>
      </c>
      <c r="I50" s="4" t="s">
        <v>16</v>
      </c>
      <c r="J50" s="6" t="s">
        <v>121</v>
      </c>
    </row>
    <row r="51" customFormat="false" ht="15" hidden="false" customHeight="false" outlineLevel="0" collapsed="false">
      <c r="A51" s="3" t="n">
        <v>1</v>
      </c>
      <c r="B51" s="4" t="s">
        <v>61</v>
      </c>
      <c r="C51" s="4" t="s">
        <v>122</v>
      </c>
      <c r="D51" s="4" t="s">
        <v>108</v>
      </c>
      <c r="E51" s="3" t="n">
        <v>3</v>
      </c>
      <c r="F51" s="3" t="s">
        <v>43</v>
      </c>
      <c r="G51" s="3" t="s">
        <v>21</v>
      </c>
      <c r="H51" s="5" t="n">
        <v>5</v>
      </c>
      <c r="I51" s="4" t="s">
        <v>16</v>
      </c>
      <c r="J51" s="6" t="s">
        <v>123</v>
      </c>
    </row>
    <row r="52" customFormat="false" ht="15" hidden="false" customHeight="false" outlineLevel="0" collapsed="false">
      <c r="A52" s="3" t="n">
        <v>1</v>
      </c>
      <c r="B52" s="4" t="s">
        <v>35</v>
      </c>
      <c r="C52" s="4" t="s">
        <v>124</v>
      </c>
      <c r="D52" s="4" t="s">
        <v>108</v>
      </c>
      <c r="E52" s="3" t="n">
        <v>5</v>
      </c>
      <c r="F52" s="3" t="s">
        <v>43</v>
      </c>
      <c r="G52" s="3" t="s">
        <v>15</v>
      </c>
      <c r="H52" s="5" t="n">
        <v>15</v>
      </c>
      <c r="I52" s="4" t="s">
        <v>16</v>
      </c>
      <c r="J52" s="6" t="s">
        <v>125</v>
      </c>
    </row>
    <row r="53" customFormat="false" ht="15" hidden="false" customHeight="false" outlineLevel="0" collapsed="false">
      <c r="A53" s="3" t="n">
        <v>1</v>
      </c>
      <c r="B53" s="4" t="s">
        <v>35</v>
      </c>
      <c r="C53" s="4" t="s">
        <v>126</v>
      </c>
      <c r="D53" s="4" t="s">
        <v>108</v>
      </c>
      <c r="E53" s="3" t="n">
        <v>5</v>
      </c>
      <c r="F53" s="3" t="s">
        <v>43</v>
      </c>
      <c r="G53" s="3" t="s">
        <v>15</v>
      </c>
      <c r="H53" s="5" t="n">
        <v>5</v>
      </c>
      <c r="I53" s="4" t="s">
        <v>16</v>
      </c>
      <c r="J53" s="6" t="s">
        <v>127</v>
      </c>
    </row>
    <row r="54" customFormat="false" ht="15" hidden="false" customHeight="false" outlineLevel="0" collapsed="false">
      <c r="A54" s="3" t="n">
        <v>1</v>
      </c>
      <c r="B54" s="4" t="s">
        <v>128</v>
      </c>
      <c r="C54" s="4" t="s">
        <v>129</v>
      </c>
      <c r="D54" s="4" t="s">
        <v>130</v>
      </c>
      <c r="E54" s="3" t="n">
        <v>1</v>
      </c>
      <c r="F54" s="3" t="s">
        <v>26</v>
      </c>
      <c r="G54" s="3" t="s">
        <v>21</v>
      </c>
      <c r="H54" s="5" t="n">
        <v>3</v>
      </c>
      <c r="I54" s="4" t="s">
        <v>16</v>
      </c>
      <c r="J54" s="6" t="s">
        <v>131</v>
      </c>
    </row>
    <row r="55" customFormat="false" ht="15" hidden="false" customHeight="false" outlineLevel="0" collapsed="false">
      <c r="A55" s="3" t="n">
        <v>1</v>
      </c>
      <c r="B55" s="4" t="s">
        <v>128</v>
      </c>
      <c r="C55" s="4" t="s">
        <v>132</v>
      </c>
      <c r="D55" s="4" t="s">
        <v>130</v>
      </c>
      <c r="E55" s="3" t="n">
        <v>1</v>
      </c>
      <c r="F55" s="3" t="s">
        <v>26</v>
      </c>
      <c r="G55" s="3" t="s">
        <v>21</v>
      </c>
      <c r="H55" s="5" t="n">
        <v>5</v>
      </c>
      <c r="I55" s="4" t="s">
        <v>16</v>
      </c>
      <c r="J55" s="6" t="s">
        <v>133</v>
      </c>
    </row>
    <row r="56" customFormat="false" ht="15" hidden="false" customHeight="false" outlineLevel="0" collapsed="false">
      <c r="A56" s="3" t="n">
        <v>1</v>
      </c>
      <c r="B56" s="4" t="s">
        <v>61</v>
      </c>
      <c r="C56" s="4" t="s">
        <v>134</v>
      </c>
      <c r="D56" s="4" t="s">
        <v>130</v>
      </c>
      <c r="E56" s="3" t="n">
        <v>1</v>
      </c>
      <c r="F56" s="3" t="s">
        <v>26</v>
      </c>
      <c r="G56" s="3" t="s">
        <v>21</v>
      </c>
      <c r="H56" s="5" t="n">
        <v>15</v>
      </c>
      <c r="I56" s="4" t="s">
        <v>16</v>
      </c>
      <c r="J56" s="6" t="s">
        <v>135</v>
      </c>
    </row>
    <row r="57" customFormat="false" ht="15" hidden="false" customHeight="false" outlineLevel="0" collapsed="false">
      <c r="A57" s="3" t="n">
        <v>1</v>
      </c>
      <c r="B57" s="4" t="s">
        <v>128</v>
      </c>
      <c r="C57" s="4" t="s">
        <v>136</v>
      </c>
      <c r="D57" s="4" t="s">
        <v>130</v>
      </c>
      <c r="E57" s="3" t="n">
        <v>3</v>
      </c>
      <c r="F57" s="3" t="s">
        <v>14</v>
      </c>
      <c r="G57" s="3" t="s">
        <v>21</v>
      </c>
      <c r="H57" s="5" t="n">
        <v>3</v>
      </c>
      <c r="I57" s="4" t="s">
        <v>16</v>
      </c>
      <c r="J57" s="6" t="s">
        <v>137</v>
      </c>
    </row>
    <row r="58" customFormat="false" ht="15" hidden="false" customHeight="false" outlineLevel="0" collapsed="false">
      <c r="A58" s="3" t="n">
        <v>1</v>
      </c>
      <c r="B58" s="4" t="s">
        <v>18</v>
      </c>
      <c r="C58" s="4" t="s">
        <v>138</v>
      </c>
      <c r="D58" s="4" t="s">
        <v>130</v>
      </c>
      <c r="E58" s="3" t="n">
        <v>4</v>
      </c>
      <c r="F58" s="3" t="s">
        <v>26</v>
      </c>
      <c r="G58" s="3" t="s">
        <v>21</v>
      </c>
      <c r="H58" s="5" t="n">
        <v>0.5</v>
      </c>
      <c r="I58" s="4" t="s">
        <v>16</v>
      </c>
      <c r="J58" s="6" t="s">
        <v>139</v>
      </c>
    </row>
    <row r="59" customFormat="false" ht="15" hidden="false" customHeight="false" outlineLevel="0" collapsed="false">
      <c r="A59" s="3" t="n">
        <v>1</v>
      </c>
      <c r="B59" s="4" t="s">
        <v>128</v>
      </c>
      <c r="C59" s="4" t="s">
        <v>140</v>
      </c>
      <c r="D59" s="4" t="s">
        <v>130</v>
      </c>
      <c r="E59" s="3" t="n">
        <v>3</v>
      </c>
      <c r="F59" s="3" t="s">
        <v>14</v>
      </c>
      <c r="G59" s="3" t="s">
        <v>21</v>
      </c>
      <c r="H59" s="5" t="n">
        <v>0.5</v>
      </c>
      <c r="I59" s="4" t="s">
        <v>16</v>
      </c>
      <c r="J59" s="6" t="s">
        <v>141</v>
      </c>
    </row>
    <row r="60" customFormat="false" ht="15" hidden="false" customHeight="false" outlineLevel="0" collapsed="false">
      <c r="A60" s="3" t="n">
        <v>1</v>
      </c>
      <c r="B60" s="4" t="s">
        <v>128</v>
      </c>
      <c r="C60" s="4" t="s">
        <v>142</v>
      </c>
      <c r="D60" s="4" t="s">
        <v>130</v>
      </c>
      <c r="E60" s="3" t="n">
        <v>4</v>
      </c>
      <c r="F60" s="3" t="s">
        <v>26</v>
      </c>
      <c r="G60" s="3" t="s">
        <v>21</v>
      </c>
      <c r="H60" s="5" t="n">
        <v>1</v>
      </c>
      <c r="I60" s="4" t="s">
        <v>16</v>
      </c>
      <c r="J60" s="6" t="s">
        <v>143</v>
      </c>
    </row>
    <row r="61" customFormat="false" ht="15" hidden="false" customHeight="false" outlineLevel="0" collapsed="false">
      <c r="A61" s="3" t="n">
        <v>1</v>
      </c>
      <c r="B61" s="4" t="s">
        <v>128</v>
      </c>
      <c r="C61" s="4" t="s">
        <v>144</v>
      </c>
      <c r="D61" s="4" t="s">
        <v>145</v>
      </c>
      <c r="E61" s="3" t="n">
        <v>3</v>
      </c>
      <c r="F61" s="3" t="s">
        <v>43</v>
      </c>
      <c r="G61" s="3" t="s">
        <v>21</v>
      </c>
      <c r="H61" s="5" t="n">
        <v>8</v>
      </c>
      <c r="I61" s="4" t="s">
        <v>16</v>
      </c>
      <c r="J61" s="6" t="s">
        <v>146</v>
      </c>
    </row>
    <row r="62" customFormat="false" ht="15" hidden="false" customHeight="false" outlineLevel="0" collapsed="false">
      <c r="A62" s="3" t="n">
        <v>1</v>
      </c>
      <c r="B62" s="4" t="s">
        <v>128</v>
      </c>
      <c r="C62" s="4" t="s">
        <v>147</v>
      </c>
      <c r="D62" s="4" t="s">
        <v>145</v>
      </c>
      <c r="E62" s="3" t="n">
        <v>3</v>
      </c>
      <c r="F62" s="3" t="s">
        <v>43</v>
      </c>
      <c r="G62" s="3" t="s">
        <v>21</v>
      </c>
      <c r="H62" s="5" t="n">
        <v>20</v>
      </c>
      <c r="I62" s="4" t="s">
        <v>16</v>
      </c>
      <c r="J62" s="6" t="s">
        <v>148</v>
      </c>
    </row>
    <row r="63" customFormat="false" ht="15" hidden="false" customHeight="false" outlineLevel="0" collapsed="false">
      <c r="A63" s="3" t="n">
        <v>1</v>
      </c>
      <c r="B63" s="4" t="s">
        <v>35</v>
      </c>
      <c r="C63" s="4" t="s">
        <v>149</v>
      </c>
      <c r="D63" s="4" t="s">
        <v>145</v>
      </c>
      <c r="E63" s="3" t="n">
        <v>4</v>
      </c>
      <c r="F63" s="3" t="s">
        <v>14</v>
      </c>
      <c r="G63" s="3" t="s">
        <v>21</v>
      </c>
      <c r="H63" s="5" t="n">
        <v>2</v>
      </c>
      <c r="I63" s="4" t="s">
        <v>16</v>
      </c>
      <c r="J63" s="6" t="s">
        <v>150</v>
      </c>
    </row>
    <row r="64" customFormat="false" ht="15" hidden="false" customHeight="false" outlineLevel="0" collapsed="false">
      <c r="A64" s="3" t="n">
        <v>1</v>
      </c>
      <c r="B64" s="4" t="s">
        <v>128</v>
      </c>
      <c r="C64" s="4" t="s">
        <v>151</v>
      </c>
      <c r="D64" s="4" t="s">
        <v>145</v>
      </c>
      <c r="E64" s="3" t="n">
        <v>6</v>
      </c>
      <c r="F64" s="3" t="s">
        <v>26</v>
      </c>
      <c r="G64" s="3" t="s">
        <v>21</v>
      </c>
      <c r="H64" s="5" t="n">
        <v>5</v>
      </c>
      <c r="I64" s="4" t="s">
        <v>16</v>
      </c>
      <c r="J64" s="6" t="s">
        <v>152</v>
      </c>
    </row>
    <row r="65" customFormat="false" ht="15" hidden="false" customHeight="false" outlineLevel="0" collapsed="false">
      <c r="A65" s="3" t="n">
        <v>1</v>
      </c>
      <c r="B65" s="4" t="s">
        <v>128</v>
      </c>
      <c r="C65" s="4" t="s">
        <v>153</v>
      </c>
      <c r="D65" s="4" t="s">
        <v>145</v>
      </c>
      <c r="E65" s="3" t="n">
        <v>6</v>
      </c>
      <c r="F65" s="3" t="s">
        <v>26</v>
      </c>
      <c r="G65" s="3" t="s">
        <v>21</v>
      </c>
      <c r="H65" s="5" t="n">
        <v>8</v>
      </c>
      <c r="I65" s="4" t="s">
        <v>16</v>
      </c>
      <c r="J65" s="6" t="s">
        <v>154</v>
      </c>
    </row>
    <row r="66" customFormat="false" ht="15" hidden="false" customHeight="false" outlineLevel="0" collapsed="false">
      <c r="A66" s="3" t="n">
        <v>1</v>
      </c>
      <c r="B66" s="4" t="s">
        <v>128</v>
      </c>
      <c r="C66" s="4" t="s">
        <v>155</v>
      </c>
      <c r="D66" s="4" t="s">
        <v>145</v>
      </c>
      <c r="E66" s="3" t="n">
        <v>4</v>
      </c>
      <c r="F66" s="3" t="s">
        <v>43</v>
      </c>
      <c r="G66" s="3" t="s">
        <v>21</v>
      </c>
      <c r="H66" s="5" t="n">
        <v>10</v>
      </c>
      <c r="I66" s="4" t="s">
        <v>16</v>
      </c>
      <c r="J66" s="6" t="s">
        <v>156</v>
      </c>
    </row>
    <row r="67" customFormat="false" ht="15" hidden="false" customHeight="false" outlineLevel="0" collapsed="false">
      <c r="A67" s="3" t="n">
        <v>1</v>
      </c>
      <c r="B67" s="4" t="s">
        <v>157</v>
      </c>
      <c r="C67" s="4" t="s">
        <v>158</v>
      </c>
      <c r="D67" s="4" t="s">
        <v>159</v>
      </c>
      <c r="E67" s="3" t="n">
        <v>0</v>
      </c>
      <c r="F67" s="3" t="s">
        <v>43</v>
      </c>
      <c r="G67" s="3" t="s">
        <v>21</v>
      </c>
      <c r="H67" s="5" t="n">
        <v>0.5</v>
      </c>
      <c r="I67" s="4" t="s">
        <v>16</v>
      </c>
      <c r="J67" s="6" t="s">
        <v>160</v>
      </c>
    </row>
    <row r="68" customFormat="false" ht="15" hidden="false" customHeight="false" outlineLevel="0" collapsed="false">
      <c r="A68" s="3" t="n">
        <v>1</v>
      </c>
      <c r="B68" s="4" t="s">
        <v>157</v>
      </c>
      <c r="C68" s="4" t="s">
        <v>161</v>
      </c>
      <c r="D68" s="4" t="s">
        <v>159</v>
      </c>
      <c r="E68" s="3" t="n">
        <v>0</v>
      </c>
      <c r="F68" s="3" t="s">
        <v>82</v>
      </c>
      <c r="G68" s="3" t="s">
        <v>21</v>
      </c>
      <c r="H68" s="5" t="n">
        <v>0.25</v>
      </c>
      <c r="I68" s="4" t="s">
        <v>16</v>
      </c>
      <c r="J68" s="6" t="s">
        <v>162</v>
      </c>
    </row>
    <row r="69" customFormat="false" ht="15" hidden="false" customHeight="false" outlineLevel="0" collapsed="false">
      <c r="A69" s="3" t="n">
        <v>1</v>
      </c>
      <c r="B69" s="4" t="s">
        <v>157</v>
      </c>
      <c r="C69" s="4" t="s">
        <v>163</v>
      </c>
      <c r="D69" s="4" t="s">
        <v>159</v>
      </c>
      <c r="E69" s="3" t="n">
        <v>0</v>
      </c>
      <c r="F69" s="3" t="s">
        <v>26</v>
      </c>
      <c r="G69" s="3" t="s">
        <v>21</v>
      </c>
      <c r="H69" s="5" t="n">
        <v>2</v>
      </c>
      <c r="I69" s="4" t="s">
        <v>16</v>
      </c>
      <c r="J69" s="6" t="s">
        <v>164</v>
      </c>
    </row>
    <row r="70" customFormat="false" ht="15" hidden="false" customHeight="false" outlineLevel="0" collapsed="false">
      <c r="A70" s="3" t="n">
        <v>1</v>
      </c>
      <c r="B70" s="4" t="s">
        <v>157</v>
      </c>
      <c r="C70" s="4" t="s">
        <v>165</v>
      </c>
      <c r="D70" s="4" t="s">
        <v>159</v>
      </c>
      <c r="E70" s="3" t="n">
        <v>0</v>
      </c>
      <c r="F70" s="3" t="s">
        <v>26</v>
      </c>
      <c r="G70" s="3" t="s">
        <v>21</v>
      </c>
      <c r="H70" s="5" t="n">
        <v>0.5</v>
      </c>
      <c r="I70" s="4" t="s">
        <v>16</v>
      </c>
      <c r="J70" s="6" t="s">
        <v>166</v>
      </c>
    </row>
    <row r="71" customFormat="false" ht="15" hidden="false" customHeight="false" outlineLevel="0" collapsed="false">
      <c r="A71" s="3" t="n">
        <v>1</v>
      </c>
      <c r="B71" s="4" t="s">
        <v>157</v>
      </c>
      <c r="C71" s="4" t="s">
        <v>167</v>
      </c>
      <c r="D71" s="4" t="s">
        <v>159</v>
      </c>
      <c r="E71" s="3" t="n">
        <v>0</v>
      </c>
      <c r="F71" s="3" t="s">
        <v>82</v>
      </c>
      <c r="G71" s="3" t="s">
        <v>21</v>
      </c>
      <c r="H71" s="5" t="n">
        <v>1</v>
      </c>
      <c r="I71" s="4" t="s">
        <v>16</v>
      </c>
      <c r="J71" s="6" t="s">
        <v>168</v>
      </c>
    </row>
    <row r="72" customFormat="false" ht="15" hidden="false" customHeight="false" outlineLevel="0" collapsed="false">
      <c r="A72" s="3" t="n">
        <v>1</v>
      </c>
      <c r="B72" s="4" t="s">
        <v>157</v>
      </c>
      <c r="C72" s="4" t="s">
        <v>169</v>
      </c>
      <c r="D72" s="4" t="s">
        <v>159</v>
      </c>
      <c r="E72" s="3" t="n">
        <v>0</v>
      </c>
      <c r="F72" s="3" t="s">
        <v>82</v>
      </c>
      <c r="G72" s="3" t="s">
        <v>21</v>
      </c>
      <c r="H72" s="5" t="n">
        <v>40</v>
      </c>
      <c r="I72" s="4" t="s">
        <v>16</v>
      </c>
      <c r="J72" s="6" t="s">
        <v>170</v>
      </c>
    </row>
    <row r="73" customFormat="false" ht="15" hidden="false" customHeight="false" outlineLevel="0" collapsed="false">
      <c r="A73" s="3" t="n">
        <v>1</v>
      </c>
      <c r="B73" s="4" t="s">
        <v>157</v>
      </c>
      <c r="C73" s="4" t="s">
        <v>171</v>
      </c>
      <c r="D73" s="4" t="s">
        <v>159</v>
      </c>
      <c r="E73" s="3" t="n">
        <v>0</v>
      </c>
      <c r="F73" s="3" t="s">
        <v>82</v>
      </c>
      <c r="G73" s="3" t="s">
        <v>21</v>
      </c>
      <c r="H73" s="5" t="n">
        <v>1</v>
      </c>
      <c r="I73" s="4" t="s">
        <v>16</v>
      </c>
      <c r="J73" s="6" t="s">
        <v>172</v>
      </c>
    </row>
    <row r="74" customFormat="false" ht="15" hidden="false" customHeight="false" outlineLevel="0" collapsed="false">
      <c r="A74" s="3" t="n">
        <v>1</v>
      </c>
      <c r="B74" s="4" t="s">
        <v>157</v>
      </c>
      <c r="C74" s="4" t="s">
        <v>173</v>
      </c>
      <c r="D74" s="4" t="s">
        <v>159</v>
      </c>
      <c r="E74" s="3" t="n">
        <v>0</v>
      </c>
      <c r="F74" s="3" t="s">
        <v>82</v>
      </c>
      <c r="G74" s="3" t="s">
        <v>21</v>
      </c>
      <c r="H74" s="5" t="n">
        <v>0.5</v>
      </c>
      <c r="I74" s="4" t="s">
        <v>16</v>
      </c>
      <c r="J74" s="6" t="s">
        <v>174</v>
      </c>
    </row>
    <row r="75" customFormat="false" ht="15" hidden="false" customHeight="false" outlineLevel="0" collapsed="false">
      <c r="A75" s="3" t="n">
        <v>1</v>
      </c>
      <c r="B75" s="4" t="s">
        <v>157</v>
      </c>
      <c r="C75" s="4" t="s">
        <v>175</v>
      </c>
      <c r="D75" s="4" t="s">
        <v>159</v>
      </c>
      <c r="E75" s="3" t="n">
        <v>0</v>
      </c>
      <c r="F75" s="3" t="s">
        <v>14</v>
      </c>
      <c r="G75" s="3" t="s">
        <v>21</v>
      </c>
      <c r="H75" s="5" t="n">
        <v>2</v>
      </c>
      <c r="I75" s="4" t="s">
        <v>16</v>
      </c>
      <c r="J75" s="6" t="s">
        <v>176</v>
      </c>
    </row>
    <row r="76" customFormat="false" ht="15" hidden="false" customHeight="false" outlineLevel="0" collapsed="false">
      <c r="A76" s="3" t="n">
        <v>1</v>
      </c>
      <c r="B76" s="4" t="s">
        <v>157</v>
      </c>
      <c r="C76" s="4" t="s">
        <v>177</v>
      </c>
      <c r="D76" s="4" t="s">
        <v>159</v>
      </c>
      <c r="E76" s="3" t="n">
        <v>0</v>
      </c>
      <c r="F76" s="3" t="s">
        <v>82</v>
      </c>
      <c r="G76" s="3" t="s">
        <v>21</v>
      </c>
      <c r="H76" s="5" t="n">
        <v>1</v>
      </c>
      <c r="I76" s="4" t="s">
        <v>16</v>
      </c>
      <c r="J76" s="6" t="s">
        <v>178</v>
      </c>
    </row>
    <row r="77" customFormat="false" ht="15" hidden="false" customHeight="false" outlineLevel="0" collapsed="false">
      <c r="A77" s="3" t="n">
        <v>1</v>
      </c>
      <c r="B77" s="4" t="s">
        <v>157</v>
      </c>
      <c r="C77" s="4" t="s">
        <v>179</v>
      </c>
      <c r="D77" s="4" t="s">
        <v>159</v>
      </c>
      <c r="E77" s="3" t="n">
        <v>0</v>
      </c>
      <c r="F77" s="3" t="s">
        <v>43</v>
      </c>
      <c r="G77" s="3" t="s">
        <v>21</v>
      </c>
      <c r="H77" s="5" t="n">
        <v>1</v>
      </c>
      <c r="I77" s="4" t="s">
        <v>16</v>
      </c>
      <c r="J77" s="6" t="s">
        <v>180</v>
      </c>
    </row>
    <row r="78" customFormat="false" ht="15" hidden="false" customHeight="false" outlineLevel="0" collapsed="false">
      <c r="A78" s="3" t="n">
        <v>1</v>
      </c>
      <c r="B78" s="4" t="s">
        <v>157</v>
      </c>
      <c r="C78" s="4" t="s">
        <v>181</v>
      </c>
      <c r="D78" s="4" t="s">
        <v>159</v>
      </c>
      <c r="E78" s="3" t="n">
        <v>0</v>
      </c>
      <c r="F78" s="3" t="s">
        <v>82</v>
      </c>
      <c r="G78" s="3" t="s">
        <v>21</v>
      </c>
      <c r="H78" s="5" t="n">
        <v>1</v>
      </c>
      <c r="I78" s="4" t="s">
        <v>16</v>
      </c>
      <c r="J78" s="6" t="s">
        <v>182</v>
      </c>
    </row>
    <row r="79" customFormat="false" ht="15" hidden="false" customHeight="false" outlineLevel="0" collapsed="false">
      <c r="A79" s="3" t="n">
        <v>1</v>
      </c>
      <c r="B79" s="4" t="s">
        <v>157</v>
      </c>
      <c r="C79" s="4" t="s">
        <v>183</v>
      </c>
      <c r="D79" s="4" t="s">
        <v>159</v>
      </c>
      <c r="E79" s="3" t="n">
        <v>0</v>
      </c>
      <c r="F79" s="3" t="s">
        <v>14</v>
      </c>
      <c r="G79" s="3" t="s">
        <v>21</v>
      </c>
      <c r="H79" s="5" t="n">
        <v>0.5</v>
      </c>
      <c r="I79" s="4" t="s">
        <v>16</v>
      </c>
      <c r="J79" s="6" t="s">
        <v>184</v>
      </c>
    </row>
    <row r="80" customFormat="false" ht="15" hidden="false" customHeight="false" outlineLevel="0" collapsed="false">
      <c r="A80" s="3" t="n">
        <v>1</v>
      </c>
      <c r="B80" s="4" t="s">
        <v>157</v>
      </c>
      <c r="C80" s="4" t="s">
        <v>185</v>
      </c>
      <c r="D80" s="4" t="s">
        <v>159</v>
      </c>
      <c r="E80" s="3" t="n">
        <v>0</v>
      </c>
      <c r="F80" s="3" t="s">
        <v>14</v>
      </c>
      <c r="G80" s="3" t="s">
        <v>21</v>
      </c>
      <c r="H80" s="5" t="n">
        <v>4</v>
      </c>
      <c r="I80" s="4" t="s">
        <v>16</v>
      </c>
      <c r="J80" s="6" t="s">
        <v>186</v>
      </c>
    </row>
    <row r="81" customFormat="false" ht="15" hidden="false" customHeight="false" outlineLevel="0" collapsed="false">
      <c r="A81" s="3" t="n">
        <v>1</v>
      </c>
      <c r="B81" s="4" t="s">
        <v>157</v>
      </c>
      <c r="C81" s="4" t="s">
        <v>187</v>
      </c>
      <c r="D81" s="4" t="s">
        <v>159</v>
      </c>
      <c r="E81" s="3" t="n">
        <v>0</v>
      </c>
      <c r="F81" s="3" t="s">
        <v>14</v>
      </c>
      <c r="G81" s="3" t="s">
        <v>21</v>
      </c>
      <c r="H81" s="5" t="n">
        <v>8</v>
      </c>
      <c r="I81" s="4" t="s">
        <v>16</v>
      </c>
      <c r="J81" s="6" t="s">
        <v>188</v>
      </c>
    </row>
    <row r="82" customFormat="false" ht="15" hidden="false" customHeight="false" outlineLevel="0" collapsed="false">
      <c r="A82" s="3" t="n">
        <v>1</v>
      </c>
      <c r="B82" s="4" t="s">
        <v>157</v>
      </c>
      <c r="C82" s="4" t="s">
        <v>189</v>
      </c>
      <c r="D82" s="4" t="s">
        <v>159</v>
      </c>
      <c r="E82" s="3" t="n">
        <v>0</v>
      </c>
      <c r="F82" s="3" t="s">
        <v>14</v>
      </c>
      <c r="G82" s="3" t="s">
        <v>21</v>
      </c>
      <c r="H82" s="5" t="n">
        <v>5</v>
      </c>
      <c r="I82" s="4" t="s">
        <v>16</v>
      </c>
      <c r="J82" s="6" t="s">
        <v>190</v>
      </c>
    </row>
    <row r="83" customFormat="false" ht="15" hidden="false" customHeight="false" outlineLevel="0" collapsed="false">
      <c r="A83" s="3" t="n">
        <v>1</v>
      </c>
      <c r="B83" s="4" t="s">
        <v>157</v>
      </c>
      <c r="C83" s="4" t="s">
        <v>191</v>
      </c>
      <c r="D83" s="4" t="s">
        <v>159</v>
      </c>
      <c r="E83" s="3" t="n">
        <v>0</v>
      </c>
      <c r="F83" s="3" t="s">
        <v>14</v>
      </c>
      <c r="G83" s="3" t="s">
        <v>21</v>
      </c>
      <c r="H83" s="5" t="n">
        <v>12</v>
      </c>
      <c r="I83" s="4" t="s">
        <v>16</v>
      </c>
      <c r="J83" s="6" t="s">
        <v>192</v>
      </c>
    </row>
    <row r="84" customFormat="false" ht="15" hidden="false" customHeight="false" outlineLevel="0" collapsed="false">
      <c r="A84" s="3" t="n">
        <v>1</v>
      </c>
      <c r="B84" s="4" t="s">
        <v>157</v>
      </c>
      <c r="C84" s="4" t="s">
        <v>193</v>
      </c>
      <c r="D84" s="4" t="s">
        <v>159</v>
      </c>
      <c r="E84" s="3" t="n">
        <v>0</v>
      </c>
      <c r="F84" s="3" t="s">
        <v>43</v>
      </c>
      <c r="G84" s="3" t="s">
        <v>21</v>
      </c>
      <c r="H84" s="5" t="n">
        <v>5</v>
      </c>
      <c r="I84" s="4" t="s">
        <v>16</v>
      </c>
      <c r="J84" s="6" t="s">
        <v>194</v>
      </c>
    </row>
    <row r="85" customFormat="false" ht="15" hidden="false" customHeight="false" outlineLevel="0" collapsed="false">
      <c r="A85" s="3" t="n">
        <v>1</v>
      </c>
      <c r="B85" s="4" t="s">
        <v>157</v>
      </c>
      <c r="C85" s="4" t="s">
        <v>195</v>
      </c>
      <c r="D85" s="4" t="s">
        <v>159</v>
      </c>
      <c r="E85" s="3" t="n">
        <v>0</v>
      </c>
      <c r="F85" s="3" t="s">
        <v>14</v>
      </c>
      <c r="G85" s="3" t="s">
        <v>21</v>
      </c>
      <c r="H85" s="5" t="n">
        <v>12</v>
      </c>
      <c r="I85" s="4" t="s">
        <v>16</v>
      </c>
      <c r="J85" s="6" t="s">
        <v>196</v>
      </c>
    </row>
    <row r="86" customFormat="false" ht="15" hidden="false" customHeight="false" outlineLevel="0" collapsed="false">
      <c r="A86" s="3" t="n">
        <v>7</v>
      </c>
      <c r="B86" s="4" t="s">
        <v>157</v>
      </c>
      <c r="C86" s="4" t="s">
        <v>197</v>
      </c>
      <c r="D86" s="4" t="s">
        <v>159</v>
      </c>
      <c r="E86" s="3" t="n">
        <v>0</v>
      </c>
      <c r="F86" s="3" t="s">
        <v>26</v>
      </c>
      <c r="G86" s="3" t="s">
        <v>21</v>
      </c>
      <c r="H86" s="5" t="n">
        <v>0.1</v>
      </c>
      <c r="I86" s="4" t="s">
        <v>198</v>
      </c>
      <c r="J86" s="6" t="s">
        <v>199</v>
      </c>
    </row>
    <row r="87" customFormat="false" ht="15" hidden="false" customHeight="false" outlineLevel="0" collapsed="false">
      <c r="A87" s="3" t="n">
        <v>11</v>
      </c>
      <c r="B87" s="4" t="s">
        <v>157</v>
      </c>
      <c r="C87" s="4" t="s">
        <v>200</v>
      </c>
      <c r="D87" s="4" t="s">
        <v>159</v>
      </c>
      <c r="E87" s="3" t="n">
        <v>0</v>
      </c>
      <c r="F87" s="3" t="s">
        <v>43</v>
      </c>
      <c r="G87" s="3" t="s">
        <v>21</v>
      </c>
      <c r="H87" s="5" t="n">
        <v>0.1</v>
      </c>
      <c r="I87" s="4" t="s">
        <v>198</v>
      </c>
      <c r="J87" s="6" t="s">
        <v>201</v>
      </c>
    </row>
  </sheetData>
  <autoFilter ref="A3:J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5"/>
    <col collapsed="false" customWidth="true" hidden="false" outlineLevel="0" max="3" min="3" style="0" width="14"/>
  </cols>
  <sheetData>
    <row r="2" customFormat="false" ht="22.05" hidden="false" customHeight="false" outlineLevel="0" collapsed="false">
      <c r="B2" s="1" t="s">
        <v>12</v>
      </c>
    </row>
    <row r="3" customFormat="false" ht="15" hidden="false" customHeight="false" outlineLevel="0" collapsed="false">
      <c r="B3" s="7" t="s">
        <v>202</v>
      </c>
    </row>
    <row r="5" customFormat="false" ht="17.35" hidden="false" customHeight="false" outlineLevel="0" collapsed="false">
      <c r="B5" s="8" t="s">
        <v>203</v>
      </c>
    </row>
    <row r="6" customFormat="false" ht="15" hidden="false" customHeight="false" outlineLevel="0" collapsed="false">
      <c r="B6" s="9" t="s">
        <v>204</v>
      </c>
      <c r="C6" s="9" t="s">
        <v>205</v>
      </c>
    </row>
    <row r="7" customFormat="false" ht="15" hidden="false" customHeight="false" outlineLevel="0" collapsed="false">
      <c r="B7" s="10" t="s">
        <v>206</v>
      </c>
      <c r="C7" s="11" t="n">
        <f aca="false">SUM(Decklist!A4:A87)</f>
        <v>100</v>
      </c>
    </row>
    <row r="8" customFormat="false" ht="15" hidden="false" customHeight="false" outlineLevel="0" collapsed="false">
      <c r="B8" s="10" t="s">
        <v>207</v>
      </c>
      <c r="C8" s="12" t="n">
        <f aca="false">SUMPRODUCT(Decklist!A4:A87,Decklist!H4:H87)</f>
        <v>417.05</v>
      </c>
    </row>
    <row r="9" customFormat="false" ht="15" hidden="false" customHeight="false" outlineLevel="0" collapsed="false">
      <c r="B9" s="10" t="s">
        <v>208</v>
      </c>
      <c r="C9" s="13" t="n">
        <v>1.4203</v>
      </c>
    </row>
    <row r="10" customFormat="false" ht="15" hidden="false" customHeight="false" outlineLevel="0" collapsed="false">
      <c r="B10" s="10" t="s">
        <v>209</v>
      </c>
      <c r="C10" s="12" t="n">
        <f aca="false">C8*$C$9</f>
        <v>592.336115</v>
      </c>
    </row>
    <row r="11" customFormat="false" ht="15" hidden="false" customHeight="false" outlineLevel="0" collapsed="false">
      <c r="B11" s="10" t="s">
        <v>210</v>
      </c>
      <c r="C11" s="11" t="n">
        <f aca="false">MAX(Decklist!E4:E87)</f>
        <v>6</v>
      </c>
    </row>
    <row r="12" customFormat="false" ht="15" hidden="false" customHeight="false" outlineLevel="0" collapsed="false">
      <c r="B12" s="10" t="s">
        <v>211</v>
      </c>
      <c r="C12" s="14" t="n">
        <f aca="false">AVERAGEIF(Decklist!B4:B87,"&lt;&gt;Lands",Decklist!E4:E87)</f>
        <v>2.85714285714286</v>
      </c>
    </row>
    <row r="13" customFormat="false" ht="15" hidden="false" customHeight="false" outlineLevel="0" collapsed="false">
      <c r="B13" s="10" t="s">
        <v>212</v>
      </c>
      <c r="C13" s="11" t="n">
        <f aca="false">SUMIF(Decklist!B4:B87,"Lands",Decklist!A4:A87)</f>
        <v>37</v>
      </c>
    </row>
    <row r="14" customFormat="false" ht="15" hidden="false" customHeight="false" outlineLevel="0" collapsed="false">
      <c r="B14" s="10" t="s">
        <v>213</v>
      </c>
      <c r="C14" s="11" t="n">
        <f aca="false">SUMIFS(Decklist!A4:A87,Decklist!B4:B87,"Lands",Decklist!J4:J87,"Basic*")</f>
        <v>18</v>
      </c>
    </row>
    <row r="15" customFormat="false" ht="15" hidden="false" customHeight="false" outlineLevel="0" collapsed="false">
      <c r="B15" s="10" t="s">
        <v>214</v>
      </c>
      <c r="C15" s="11" t="n">
        <f aca="false">SUMIF(Decklist!B4:B87,"Lifegain Engines",Decklist!A4:A87)+SUMIF(Decklist!B4:B87,"Lifegain Payoffs",Decklist!A4:A87)</f>
        <v>32</v>
      </c>
    </row>
    <row r="16" customFormat="false" ht="15" hidden="false" customHeight="false" outlineLevel="0" collapsed="false">
      <c r="B16" s="10" t="s">
        <v>215</v>
      </c>
      <c r="C16" s="11" t="n">
        <f aca="false">SUMIF(Decklist!F4:F87,"W/B",Decklist!A4:A87)</f>
        <v>19</v>
      </c>
    </row>
    <row r="18" customFormat="false" ht="15" hidden="false" customHeight="false" outlineLevel="0" collapsed="false">
      <c r="B18" s="15" t="s">
        <v>216</v>
      </c>
    </row>
    <row r="21" customFormat="false" ht="17.35" hidden="false" customHeight="false" outlineLevel="0" collapsed="false">
      <c r="B21" s="8" t="s">
        <v>217</v>
      </c>
    </row>
    <row r="22" customFormat="false" ht="15" hidden="false" customHeight="false" outlineLevel="0" collapsed="false">
      <c r="B22" s="9" t="s">
        <v>5</v>
      </c>
      <c r="C22" s="9" t="s">
        <v>218</v>
      </c>
    </row>
    <row r="23" customFormat="false" ht="15" hidden="false" customHeight="false" outlineLevel="0" collapsed="false">
      <c r="B23" s="11" t="n">
        <v>1</v>
      </c>
      <c r="C23" s="11" t="n">
        <f aca="false">SUMIFS(Decklist!A4:A87,Decklist!E4:E87,B23,Decklist!B4:B87,"&lt;&gt;Lands")</f>
        <v>14</v>
      </c>
    </row>
    <row r="24" customFormat="false" ht="15" hidden="false" customHeight="false" outlineLevel="0" collapsed="false">
      <c r="B24" s="11" t="n">
        <v>2</v>
      </c>
      <c r="C24" s="11" t="n">
        <f aca="false">SUMIFS(Decklist!A4:A87,Decklist!E4:E87,B24,Decklist!B4:B87,"&lt;&gt;Lands")</f>
        <v>15</v>
      </c>
    </row>
    <row r="25" customFormat="false" ht="15" hidden="false" customHeight="false" outlineLevel="0" collapsed="false">
      <c r="B25" s="11" t="n">
        <v>3</v>
      </c>
      <c r="C25" s="11" t="n">
        <f aca="false">SUMIFS(Decklist!A4:A87,Decklist!E4:E87,B25,Decklist!B4:B87,"&lt;&gt;Lands")</f>
        <v>13</v>
      </c>
    </row>
    <row r="26" customFormat="false" ht="15" hidden="false" customHeight="false" outlineLevel="0" collapsed="false">
      <c r="B26" s="11" t="n">
        <v>4</v>
      </c>
      <c r="C26" s="11" t="n">
        <f aca="false">SUMIFS(Decklist!A4:A87,Decklist!E4:E87,B26,Decklist!B4:B87,"&lt;&gt;Lands")</f>
        <v>12</v>
      </c>
    </row>
    <row r="27" customFormat="false" ht="15" hidden="false" customHeight="false" outlineLevel="0" collapsed="false">
      <c r="B27" s="11" t="n">
        <v>5</v>
      </c>
      <c r="C27" s="11" t="n">
        <f aca="false">SUMIFS(Decklist!A4:A87,Decklist!E4:E87,B27,Decklist!B4:B87,"&lt;&gt;Lands")</f>
        <v>5</v>
      </c>
    </row>
    <row r="28" customFormat="false" ht="15" hidden="false" customHeight="false" outlineLevel="0" collapsed="false">
      <c r="B28" s="11" t="n">
        <v>6</v>
      </c>
      <c r="C28" s="11" t="n">
        <f aca="false">SUMIFS(Decklist!A4:A87,Decklist!E4:E87,B28,Decklist!B4:B87,"&lt;&gt;Lands")</f>
        <v>4</v>
      </c>
    </row>
    <row r="29" customFormat="false" ht="15" hidden="false" customHeight="false" outlineLevel="0" collapsed="false">
      <c r="B29" s="11" t="n">
        <v>7</v>
      </c>
      <c r="C29" s="11" t="n">
        <f aca="false">SUMIFS(Decklist!A4:A87,Decklist!E4:E87,B29,Decklist!B4:B87,"&lt;&gt;Lands")</f>
        <v>0</v>
      </c>
    </row>
    <row r="30" customFormat="false" ht="15" hidden="false" customHeight="false" outlineLevel="0" collapsed="false">
      <c r="B30" s="11" t="n">
        <v>8</v>
      </c>
      <c r="C30" s="11" t="n">
        <f aca="false">SUMIFS(Decklist!A4:A87,Decklist!E4:E87,B30,Decklist!B4:B87,"&lt;&gt;Lands")</f>
        <v>0</v>
      </c>
    </row>
    <row r="33" customFormat="false" ht="17.35" hidden="false" customHeight="false" outlineLevel="0" collapsed="false">
      <c r="B33" s="8" t="s">
        <v>219</v>
      </c>
    </row>
    <row r="34" customFormat="false" ht="15" hidden="false" customHeight="false" outlineLevel="0" collapsed="false">
      <c r="B34" s="9" t="s">
        <v>2</v>
      </c>
      <c r="C34" s="9" t="s">
        <v>218</v>
      </c>
    </row>
    <row r="35" customFormat="false" ht="15" hidden="false" customHeight="false" outlineLevel="0" collapsed="false">
      <c r="B35" s="11" t="s">
        <v>11</v>
      </c>
      <c r="C35" s="11" t="n">
        <f aca="false">SUMIF(Decklist!B4:B87,B35,Decklist!A4:A87)</f>
        <v>1</v>
      </c>
    </row>
    <row r="36" customFormat="false" ht="15" hidden="false" customHeight="false" outlineLevel="0" collapsed="false">
      <c r="B36" s="11" t="s">
        <v>18</v>
      </c>
      <c r="C36" s="11" t="n">
        <f aca="false">SUMIF(Decklist!B4:B87,B36,Decklist!A4:A87)</f>
        <v>15</v>
      </c>
    </row>
    <row r="37" customFormat="false" ht="15" hidden="false" customHeight="false" outlineLevel="0" collapsed="false">
      <c r="B37" s="11" t="s">
        <v>35</v>
      </c>
      <c r="C37" s="11" t="n">
        <f aca="false">SUMIF(Decklist!B4:B87,B37,Decklist!A4:A87)</f>
        <v>17</v>
      </c>
    </row>
    <row r="38" customFormat="false" ht="15" hidden="false" customHeight="false" outlineLevel="0" collapsed="false">
      <c r="B38" s="11" t="s">
        <v>61</v>
      </c>
      <c r="C38" s="11" t="n">
        <f aca="false">SUMIF(Decklist!B4:B87,B38,Decklist!A4:A87)</f>
        <v>11</v>
      </c>
    </row>
    <row r="39" customFormat="false" ht="15" hidden="false" customHeight="false" outlineLevel="0" collapsed="false">
      <c r="B39" s="11" t="s">
        <v>86</v>
      </c>
      <c r="C39" s="11" t="n">
        <f aca="false">SUMIF(Decklist!B4:B87,B39,Decklist!A4:A87)</f>
        <v>4</v>
      </c>
    </row>
    <row r="40" customFormat="false" ht="15" hidden="false" customHeight="false" outlineLevel="0" collapsed="false">
      <c r="B40" s="11" t="s">
        <v>128</v>
      </c>
      <c r="C40" s="11" t="n">
        <f aca="false">SUMIF(Decklist!B4:B87,B40,Decklist!A4:A87)</f>
        <v>10</v>
      </c>
    </row>
    <row r="41" customFormat="false" ht="15" hidden="false" customHeight="false" outlineLevel="0" collapsed="false">
      <c r="B41" s="11" t="s">
        <v>32</v>
      </c>
      <c r="C41" s="11" t="n">
        <f aca="false">SUMIF(Decklist!B4:B87,B41,Decklist!A4:A87)</f>
        <v>5</v>
      </c>
    </row>
    <row r="42" customFormat="false" ht="15" hidden="false" customHeight="false" outlineLevel="0" collapsed="false">
      <c r="B42" s="11" t="s">
        <v>157</v>
      </c>
      <c r="C42" s="11" t="n">
        <f aca="false">SUMIF(Decklist!B4:B87,B42,Decklist!A4:A87)</f>
        <v>37</v>
      </c>
    </row>
    <row r="43" customFormat="false" ht="15" hidden="false" customHeight="false" outlineLevel="0" collapsed="false">
      <c r="B43" s="10" t="s">
        <v>220</v>
      </c>
      <c r="C43" s="10" t="n">
        <f aca="false">SUM(C35:C42)</f>
        <v>100</v>
      </c>
    </row>
    <row r="46" customFormat="false" ht="17.35" hidden="false" customHeight="false" outlineLevel="0" collapsed="false">
      <c r="B46" s="8" t="s">
        <v>221</v>
      </c>
    </row>
    <row r="47" customFormat="false" ht="15" hidden="false" customHeight="false" outlineLevel="0" collapsed="false">
      <c r="B47" s="9" t="s">
        <v>4</v>
      </c>
      <c r="C47" s="9" t="s">
        <v>218</v>
      </c>
    </row>
    <row r="48" customFormat="false" ht="15" hidden="false" customHeight="false" outlineLevel="0" collapsed="false">
      <c r="B48" s="11" t="s">
        <v>13</v>
      </c>
      <c r="C48" s="11" t="n">
        <f aca="false">SUMIF(Decklist!D4:D87,B48,Decklist!A4:A87)</f>
        <v>26</v>
      </c>
    </row>
    <row r="49" customFormat="false" ht="15" hidden="false" customHeight="false" outlineLevel="0" collapsed="false">
      <c r="B49" s="11" t="s">
        <v>20</v>
      </c>
      <c r="C49" s="11" t="n">
        <f aca="false">SUMIF(Decklist!D4:D87,B49,Decklist!A4:A87)</f>
        <v>2</v>
      </c>
    </row>
    <row r="50" customFormat="false" ht="15" hidden="false" customHeight="false" outlineLevel="0" collapsed="false">
      <c r="B50" s="11" t="s">
        <v>130</v>
      </c>
      <c r="C50" s="11" t="n">
        <f aca="false">SUMIF(Decklist!D4:D87,B50,Decklist!A4:A87)</f>
        <v>7</v>
      </c>
    </row>
    <row r="51" customFormat="false" ht="15" hidden="false" customHeight="false" outlineLevel="0" collapsed="false">
      <c r="B51" s="11" t="s">
        <v>145</v>
      </c>
      <c r="C51" s="11" t="n">
        <f aca="false">SUMIF(Decklist!D4:D87,B51,Decklist!A4:A87)</f>
        <v>6</v>
      </c>
    </row>
    <row r="52" customFormat="false" ht="15" hidden="false" customHeight="false" outlineLevel="0" collapsed="false">
      <c r="B52" s="11" t="s">
        <v>81</v>
      </c>
      <c r="C52" s="11" t="n">
        <f aca="false">SUMIF(Decklist!D4:D87,B52,Decklist!A4:A87)</f>
        <v>12</v>
      </c>
    </row>
    <row r="53" customFormat="false" ht="15" hidden="false" customHeight="false" outlineLevel="0" collapsed="false">
      <c r="B53" s="11" t="s">
        <v>108</v>
      </c>
      <c r="C53" s="11" t="n">
        <f aca="false">SUMIF(Decklist!D4:D87,B53,Decklist!A4:A87)</f>
        <v>10</v>
      </c>
    </row>
    <row r="54" customFormat="false" ht="15" hidden="false" customHeight="false" outlineLevel="0" collapsed="false">
      <c r="B54" s="11" t="s">
        <v>159</v>
      </c>
      <c r="C54" s="11" t="n">
        <f aca="false">SUMIF(Decklist!D4:D87,B54,Decklist!A4:A87)</f>
        <v>37</v>
      </c>
    </row>
    <row r="55" customFormat="false" ht="15" hidden="false" customHeight="false" outlineLevel="0" collapsed="false">
      <c r="B55" s="10" t="s">
        <v>220</v>
      </c>
      <c r="C55" s="10" t="n">
        <f aca="false">SUM(C48:C54)</f>
        <v>100</v>
      </c>
    </row>
    <row r="58" customFormat="false" ht="17.35" hidden="false" customHeight="false" outlineLevel="0" collapsed="false">
      <c r="B58" s="8" t="s">
        <v>222</v>
      </c>
    </row>
    <row r="59" customFormat="false" ht="15" hidden="false" customHeight="false" outlineLevel="0" collapsed="false">
      <c r="B59" s="16" t="s">
        <v>223</v>
      </c>
    </row>
    <row r="60" customFormat="false" ht="15" hidden="false" customHeight="false" outlineLevel="0" collapsed="false">
      <c r="B60" s="16" t="s">
        <v>224</v>
      </c>
    </row>
    <row r="61" customFormat="false" ht="15" hidden="false" customHeight="false" outlineLevel="0" collapsed="false">
      <c r="B61" s="16" t="s">
        <v>225</v>
      </c>
    </row>
    <row r="62" customFormat="false" ht="15" hidden="false" customHeight="false" outlineLevel="0" collapsed="false">
      <c r="B62" s="16" t="s">
        <v>226</v>
      </c>
    </row>
    <row r="63" customFormat="false" ht="15" hidden="false" customHeight="false" outlineLevel="0" collapsed="false">
      <c r="B63" s="16" t="s">
        <v>227</v>
      </c>
    </row>
    <row r="64" customFormat="false" ht="15" hidden="false" customHeight="false" outlineLevel="0" collapsed="false">
      <c r="B64" s="16" t="s">
        <v>228</v>
      </c>
    </row>
    <row r="65" customFormat="false" ht="15" hidden="false" customHeight="false" outlineLevel="0" collapsed="false">
      <c r="B65" s="16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2026-09-01T21:42:43Z</dcterms:created>
  <dc:creator>openpyxl</dc:creator>
  <dc:description/>
  <dc:language>en-US</dc:language>
  <cp:lastModifiedBy/>
  <dcterms:modified xsi:type="dcterms:W3CDTF">2026-09-01T21:42:43Z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