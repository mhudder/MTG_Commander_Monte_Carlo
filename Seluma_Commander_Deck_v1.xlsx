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klist" sheetId="1" state="visible" r:id="rId3"/>
    <sheet name="Dashboard" sheetId="2" state="visible" r:id="rId4"/>
  </sheets>
  <definedNames>
    <definedName function="false" hidden="true" localSheetId="0" name="_xlnm._FilterDatabase" vbProcedure="false">Decklist!$A$3:$J$91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<sst xmlns="http://schemas.openxmlformats.org/spreadsheetml/2006/main" count="676" uniqueCount="242">
  <si>
    <t xml:space="preserve">Seluma, Light of Aysen — Comprehensive Decklist (v1)</t>
  </si>
  <si>
    <t xml:space="preserve">Quantity</t>
  </si>
  <si>
    <t xml:space="preserve">Category</t>
  </si>
  <si>
    <t xml:space="preserve">Card Name</t>
  </si>
  <si>
    <t xml:space="preserve">Card Type</t>
  </si>
  <si>
    <t xml:space="preserve">Mana Value</t>
  </si>
  <si>
    <t xml:space="preserve">Colour Identity</t>
  </si>
  <si>
    <t xml:space="preserve">Key Card?</t>
  </si>
  <si>
    <t xml:space="preserve">Est. Cost (USD)</t>
  </si>
  <si>
    <t xml:space="preserve">Collection Status</t>
  </si>
  <si>
    <t xml:space="preserve">Notes &amp; Strategy</t>
  </si>
  <si>
    <t xml:space="preserve">Commander</t>
  </si>
  <si>
    <t xml:space="preserve">Seluma, Light of Aysen</t>
  </si>
  <si>
    <t xml:space="preserve">Creature</t>
  </si>
  <si>
    <t xml:space="preserve">W</t>
  </si>
  <si>
    <t xml:space="preserve">Yes</t>
  </si>
  <si>
    <t xml:space="preserve">Needed</t>
  </si>
  <si>
    <t xml:space="preserve">Rulebreaker: Angels of any colour identity + any basic lands. Combat damage to a PLAYER reanimates an Angel. Colour identity stays mono-white.</t>
  </si>
  <si>
    <t xml:space="preserve">Angels</t>
  </si>
  <si>
    <t xml:space="preserve">Giada, Font of Hope</t>
  </si>
  <si>
    <t xml:space="preserve">Two-mana ramp into Angels and a counter engine. Note her mana is white only - it does not help cast the off-colour Angels.</t>
  </si>
  <si>
    <t xml:space="preserve">Resplendent Angel</t>
  </si>
  <si>
    <t xml:space="preserve">No</t>
  </si>
  <si>
    <t xml:space="preserve">Free 4/4 Angel each end step once you gain 5 life.</t>
  </si>
  <si>
    <t xml:space="preserve">Righteous Valkyrie</t>
  </si>
  <si>
    <t xml:space="preserve">Anthem plus lifegain engine; turns on Resplendent Angel and Well of Lost Dreams.</t>
  </si>
  <si>
    <t xml:space="preserve">Youthful Valkyrie</t>
  </si>
  <si>
    <t xml:space="preserve">Curve filler that grows with every other Angel.</t>
  </si>
  <si>
    <t xml:space="preserve">Linvala, Keeper of Silence</t>
  </si>
  <si>
    <t xml:space="preserve">Shuts off opposing activated abilities; a fair stax piece on an Angel body.</t>
  </si>
  <si>
    <t xml:space="preserve">Serra Paragon</t>
  </si>
  <si>
    <t xml:space="preserve">Recurs a land or a cheap permanent from the yard; extra land drop matters with a 5-colour mana base.</t>
  </si>
  <si>
    <t xml:space="preserve">Sigarda, Host of Herons</t>
  </si>
  <si>
    <t xml:space="preserve">GW</t>
  </si>
  <si>
    <t xml:space="preserve">Off-colour Angel. Hexproof plus sacrifice protection against edict and Toxic Deluge decks.</t>
  </si>
  <si>
    <t xml:space="preserve">Fallen Angel</t>
  </si>
  <si>
    <t xml:space="preserve">B</t>
  </si>
  <si>
    <t xml:space="preserve">Off-colour Angel. Free sacrifice outlet - the cheapest way to put Angels in your graveyard for Seluma to rebuy.</t>
  </si>
  <si>
    <t xml:space="preserve">Aurelia, Exemplar of Justice</t>
  </si>
  <si>
    <t xml:space="preserve">RW</t>
  </si>
  <si>
    <t xml:space="preserve">Off-colour Angel. Mentor plus haste pump; can push Seluma through for the trigger.</t>
  </si>
  <si>
    <t xml:space="preserve">Steel Seraph</t>
  </si>
  <si>
    <t xml:space="preserve">Prototype {1}{W}{W} makes it a 3-drop that grants flying, vigilance or lifelink to Seluma.</t>
  </si>
  <si>
    <t xml:space="preserve">Archangel Avacyn</t>
  </si>
  <si>
    <t xml:space="preserve">Flash indestructible protects the whole board through a wrath or a targeted kill on Seluma.</t>
  </si>
  <si>
    <t xml:space="preserve">Lyra Dawnbringer</t>
  </si>
  <si>
    <t xml:space="preserve">Anthem plus lifelink for the Angel team; makes Seluma a 5/5 lifelinker.</t>
  </si>
  <si>
    <t xml:space="preserve">Archangel of Thune</t>
  </si>
  <si>
    <t xml:space="preserve">Any lifegain pumps the board; strong with Lyra and Baneslayer.</t>
  </si>
  <si>
    <t xml:space="preserve">Baneslayer Angel</t>
  </si>
  <si>
    <t xml:space="preserve">Clean five-drop body that stabilises and enables the lifegain payoffs.</t>
  </si>
  <si>
    <t xml:space="preserve">Angel of Suffering</t>
  </si>
  <si>
    <t xml:space="preserve">Off-colour Angel and the deck's only repeatable self-mill: damage to you is prevented and converted to mill, stocking the yard.</t>
  </si>
  <si>
    <t xml:space="preserve">Angel of Sanctions</t>
  </si>
  <si>
    <t xml:space="preserve">Removal on a body; embalm gives a second copy from the graveyard.</t>
  </si>
  <si>
    <t xml:space="preserve">Aurelia, the Warleader</t>
  </si>
  <si>
    <t xml:space="preserve">Off-colour Angel and the single best Seluma payoff: the extra combat means a second reanimation trigger.</t>
  </si>
  <si>
    <t xml:space="preserve">Angel of Despair</t>
  </si>
  <si>
    <t xml:space="preserve">WB</t>
  </si>
  <si>
    <t xml:space="preserve">Off-colour Angel. Unconditional permanent destruction that Seluma can rebuy every combat.</t>
  </si>
  <si>
    <t xml:space="preserve">Twilight Shepherd</t>
  </si>
  <si>
    <t xml:space="preserve">Returns everything that hit your graveyard this turn - excellent after your own wrath.</t>
  </si>
  <si>
    <t xml:space="preserve">Linvala, the Preserver</t>
  </si>
  <si>
    <t xml:space="preserve">Catch-up Angel: life swing and a 3/3 flier when you are behind.</t>
  </si>
  <si>
    <t xml:space="preserve">Angel of Serenity</t>
  </si>
  <si>
    <t xml:space="preserve">Exiles three creatures or rebuys three from your own yard. Premier Seluma reanimation target.</t>
  </si>
  <si>
    <t xml:space="preserve">Emeria Shepherd</t>
  </si>
  <si>
    <t xml:space="preserve">Landfall returns any permanent; the fetch lands and Burnished Hart turn this on repeatedly.</t>
  </si>
  <si>
    <t xml:space="preserve">Angel of the Ruins</t>
  </si>
  <si>
    <t xml:space="preserve">Exiles two noncreature permanents, and plainscycles for {3} when you need the land drop instead.</t>
  </si>
  <si>
    <t xml:space="preserve">Gisela, Blade of Goldnight</t>
  </si>
  <si>
    <t xml:space="preserve">Off-colour Angel. Doubles your damage and halves theirs; ends games out of nowhere.</t>
  </si>
  <si>
    <t xml:space="preserve">Atraxa, Grand Unifier</t>
  </si>
  <si>
    <t xml:space="preserve">GWUB</t>
  </si>
  <si>
    <t xml:space="preserve">Off-colour Angel and the best reanimation target in the deck. Realistically CHEATED in, not cast - four different colour pips is the hardest cast in the list.</t>
  </si>
  <si>
    <t xml:space="preserve">Bruna, the Fading Light</t>
  </si>
  <si>
    <t xml:space="preserve">Cast trigger returns an Angel or Human from the yard to the battlefield - a second reanimation spell stapled to a 5/7.</t>
  </si>
  <si>
    <t xml:space="preserve">Serra's Emissary</t>
  </si>
  <si>
    <t xml:space="preserve">Name Creature and your team cannot be blocked profitably or damaged by creatures - it makes Seluma's trigger nearly unstoppable.</t>
  </si>
  <si>
    <t xml:space="preserve">Avacyn, Angel of Hope</t>
  </si>
  <si>
    <t xml:space="preserve">Makes your board immune to wraths and spot removal. Top-end reanimation target.</t>
  </si>
  <si>
    <t xml:space="preserve">Ramp &amp; Fixing</t>
  </si>
  <si>
    <t xml:space="preserve">Sol Ring</t>
  </si>
  <si>
    <t xml:space="preserve">Artifact</t>
  </si>
  <si>
    <t xml:space="preserve">C</t>
  </si>
  <si>
    <t xml:space="preserve">Owned (Other Deck)</t>
  </si>
  <si>
    <t xml:space="preserve">Fast mana.</t>
  </si>
  <si>
    <t xml:space="preserve">Weathered Wayfarer</t>
  </si>
  <si>
    <t xml:space="preserve">Fetches ANY land - Cavern of Souls, a utility land, or an off-colour basic. The best fixing card in white.</t>
  </si>
  <si>
    <t xml:space="preserve">Fellwar Stone</t>
  </si>
  <si>
    <t xml:space="preserve">Colourless identity but taps for opponents' colours - real off-colour fixing.</t>
  </si>
  <si>
    <t xml:space="preserve">Chromatic Lantern</t>
  </si>
  <si>
    <t xml:space="preserve">The single most important rock here: every land taps for any colour, which is how Atraxa and Gisela actually get cast.</t>
  </si>
  <si>
    <t xml:space="preserve">Coalition Relic</t>
  </si>
  <si>
    <t xml:space="preserve">Any-colour ramp plus a stored charge counter for the double-pip Angels.</t>
  </si>
  <si>
    <t xml:space="preserve">Burnished Hart</t>
  </si>
  <si>
    <t xml:space="preserve">Fetches two basics of ANY type - the cleanest off-colour fixing available to a mono-white shell.</t>
  </si>
  <si>
    <t xml:space="preserve">Herald's Horn</t>
  </si>
  <si>
    <t xml:space="preserve">Name Angel: cost reduction plus a free card off the top most turns.</t>
  </si>
  <si>
    <t xml:space="preserve">Urza's Incubator</t>
  </si>
  <si>
    <t xml:space="preserve">Name Angel: every Angel costs {2} less. Big on a curve this top-heavy.</t>
  </si>
  <si>
    <t xml:space="preserve">Smothering Tithe</t>
  </si>
  <si>
    <t xml:space="preserve">Enchantment</t>
  </si>
  <si>
    <t xml:space="preserve">Proxy</t>
  </si>
  <si>
    <t xml:space="preserve">Treasures are colour-fixing as well as ramp - it is a top-three card in this deck, not just a good white card.</t>
  </si>
  <si>
    <t xml:space="preserve">Solemn Simulacrum</t>
  </si>
  <si>
    <t xml:space="preserve">Fetches any basic, replaces itself, and is a fine Seluma-adjacent body.</t>
  </si>
  <si>
    <t xml:space="preserve">Gilded Lotus</t>
  </si>
  <si>
    <t xml:space="preserve">Three mana of any one colour - casts the off-colour bombs on its own.</t>
  </si>
  <si>
    <t xml:space="preserve">Card Advantage</t>
  </si>
  <si>
    <t xml:space="preserve">Esper Sentinel</t>
  </si>
  <si>
    <t xml:space="preserve">White's best tax-draw one-drop.</t>
  </si>
  <si>
    <t xml:space="preserve">Sword of Fire and Ice</t>
  </si>
  <si>
    <t xml:space="preserve">Protection from red and blue covers most spot removal aimed at Seluma, plus a card per hit.</t>
  </si>
  <si>
    <t xml:space="preserve">Well of Lost Dreams</t>
  </si>
  <si>
    <t xml:space="preserve">Converts the lifelink Angels into real card draw.</t>
  </si>
  <si>
    <t xml:space="preserve">Mind's Eye</t>
  </si>
  <si>
    <t xml:space="preserve">Colourless, repeatable draw - white has little else at this rate.</t>
  </si>
  <si>
    <t xml:space="preserve">Removal &amp; Wraths</t>
  </si>
  <si>
    <t xml:space="preserve">Swords to Plowshares</t>
  </si>
  <si>
    <t xml:space="preserve">Instant</t>
  </si>
  <si>
    <t xml:space="preserve">Premier removal.</t>
  </si>
  <si>
    <t xml:space="preserve">Path to Exile</t>
  </si>
  <si>
    <t xml:space="preserve">Efficient removal.</t>
  </si>
  <si>
    <t xml:space="preserve">Winds of Abandon</t>
  </si>
  <si>
    <t xml:space="preserve">Sorcery</t>
  </si>
  <si>
    <t xml:space="preserve">Overloads as a one-sided wrath - your Angels survive to keep attacking.</t>
  </si>
  <si>
    <t xml:space="preserve">Generous Gift</t>
  </si>
  <si>
    <t xml:space="preserve">Answers anything.</t>
  </si>
  <si>
    <t xml:space="preserve">Wrath of God</t>
  </si>
  <si>
    <t xml:space="preserve">Symmetric wipes are pro-Seluma: your Angels go to the yard and she buys them back.</t>
  </si>
  <si>
    <t xml:space="preserve">Return to Dust</t>
  </si>
  <si>
    <t xml:space="preserve">Artifact and enchantment coverage, which the rest of the deck lacks.</t>
  </si>
  <si>
    <t xml:space="preserve">Austere Command</t>
  </si>
  <si>
    <t xml:space="preserve">Modal wipe - the CMC 4-or-greater mode can spare your small Angels or clear only theirs.</t>
  </si>
  <si>
    <t xml:space="preserve">Farewell</t>
  </si>
  <si>
    <t xml:space="preserve">Careful with the graveyard mode - you usually do NOT want to exile your own yard.</t>
  </si>
  <si>
    <t xml:space="preserve">Protection &amp; Evasion</t>
  </si>
  <si>
    <t xml:space="preserve">Mother of Runes</t>
  </si>
  <si>
    <t xml:space="preserve">Protects Seluma from targeted removal and blockers.</t>
  </si>
  <si>
    <t xml:space="preserve">Lightning Greaves</t>
  </si>
  <si>
    <t xml:space="preserve">Haste is the point: Seluma attacks the turn she lands.</t>
  </si>
  <si>
    <t xml:space="preserve">Swiftfoot Boots</t>
  </si>
  <si>
    <t xml:space="preserve">Haste plus hexproof; second copy of the Greaves effect.</t>
  </si>
  <si>
    <t xml:space="preserve">Whispersilk Cloak</t>
  </si>
  <si>
    <t xml:space="preserve">Unblockable guarantees the combat-damage-to-a-player trigger. Do not cut this.</t>
  </si>
  <si>
    <t xml:space="preserve">Teferi's Protection</t>
  </si>
  <si>
    <t xml:space="preserve">Phases out your board through any wrath.</t>
  </si>
  <si>
    <t xml:space="preserve">Flawless Maneuver</t>
  </si>
  <si>
    <t xml:space="preserve">Free with any Angel on board.</t>
  </si>
  <si>
    <t xml:space="preserve">Reanimation &amp; Recursion</t>
  </si>
  <si>
    <t xml:space="preserve">Marshal's Anthem</t>
  </si>
  <si>
    <t xml:space="preserve">Multikicker returns multiple Angels and leaves an anthem behind.</t>
  </si>
  <si>
    <t xml:space="preserve">Late to Dinner</t>
  </si>
  <si>
    <t xml:space="preserve">Cheap unconditional reanimation for Atraxa or Avacyn.</t>
  </si>
  <si>
    <t xml:space="preserve">Karmic Guide</t>
  </si>
  <si>
    <t xml:space="preserve">Echo is real, but it is the closest thing white has to a Reanimate on a body.</t>
  </si>
  <si>
    <t xml:space="preserve">Graveyard Filling</t>
  </si>
  <si>
    <t xml:space="preserve">Altar of Dementia</t>
  </si>
  <si>
    <t xml:space="preserve">Free sac outlet plus self-mill in one card - the main way to stock Angels before Seluma connects.</t>
  </si>
  <si>
    <t xml:space="preserve">Mesmeric Orb</t>
  </si>
  <si>
    <t xml:space="preserve">Symmetric mill, but you are the only player who can turn milled Angels back into threats.</t>
  </si>
  <si>
    <t xml:space="preserve">Lands</t>
  </si>
  <si>
    <t xml:space="preserve">Cavern of Souls</t>
  </si>
  <si>
    <t xml:space="preserve">Land</t>
  </si>
  <si>
    <t xml:space="preserve">Name Angel: any colour for every Angel spell, uncounterable. All of the off-colour pips in this deck sit on Angels, so this is close to a five-colour land.</t>
  </si>
  <si>
    <t xml:space="preserve">Unclaimed Territory</t>
  </si>
  <si>
    <t xml:space="preserve">Budget Cavern - any colour for Angel spells.</t>
  </si>
  <si>
    <t xml:space="preserve">Secluded Courtyard</t>
  </si>
  <si>
    <t xml:space="preserve">Third copy of the Cavern effect.</t>
  </si>
  <si>
    <t xml:space="preserve">Ancient Ziggurat</t>
  </si>
  <si>
    <t xml:space="preserve">Any colour for creature spells; fine because the deck is creature-dense.</t>
  </si>
  <si>
    <t xml:space="preserve">City of Brass</t>
  </si>
  <si>
    <t xml:space="preserve">Any colour, pay 1 life.</t>
  </si>
  <si>
    <t xml:space="preserve">Mana Confluence</t>
  </si>
  <si>
    <t xml:space="preserve">Grand Coliseum</t>
  </si>
  <si>
    <t xml:space="preserve">Any colour, enters tapped.</t>
  </si>
  <si>
    <t xml:space="preserve">Exotic Orchard</t>
  </si>
  <si>
    <t xml:space="preserve">Usually any colour in a four-player pod.</t>
  </si>
  <si>
    <t xml:space="preserve">Reflecting Pool</t>
  </si>
  <si>
    <t xml:space="preserve">Copies your any-colour lands; live off City of Brass and the Cavern-style lands.</t>
  </si>
  <si>
    <t xml:space="preserve">Path of Ancestry</t>
  </si>
  <si>
    <t xml:space="preserve">White only here, but the Angel scry adds up.</t>
  </si>
  <si>
    <t xml:space="preserve">Rogue's Passage</t>
  </si>
  <si>
    <t xml:space="preserve">Makes Seluma unblockable on the turn it matters.</t>
  </si>
  <si>
    <t xml:space="preserve">Emeria, the Sky Ruin</t>
  </si>
  <si>
    <t xml:space="preserve">Slower with only 11 Plains, but a free Angel every upkeep once online.</t>
  </si>
  <si>
    <t xml:space="preserve">Prismatic Vista</t>
  </si>
  <si>
    <t xml:space="preserve">Fetches any basic - the best fixing land in the deck after Cavern.</t>
  </si>
  <si>
    <t xml:space="preserve">Fabled Passage</t>
  </si>
  <si>
    <t xml:space="preserve">Fetches any basic.</t>
  </si>
  <si>
    <t xml:space="preserve">Evolving Wilds</t>
  </si>
  <si>
    <t xml:space="preserve">Terramorphic Expanse</t>
  </si>
  <si>
    <t xml:space="preserve">Arid Mesa</t>
  </si>
  <si>
    <t xml:space="preserve">Plains or Mountain, untapped.</t>
  </si>
  <si>
    <t xml:space="preserve">Marsh Flats</t>
  </si>
  <si>
    <t xml:space="preserve">Plains or Swamp - budget swap: another Evolving Wilds effect.</t>
  </si>
  <si>
    <t xml:space="preserve">Windswept Heath</t>
  </si>
  <si>
    <t xml:space="preserve">Plains or Forest - budget swap: another Evolving Wilds effect.</t>
  </si>
  <si>
    <t xml:space="preserve">Flooded Strand</t>
  </si>
  <si>
    <t xml:space="preserve">Plains or Island - mainly here to find the single Island for Atraxa.</t>
  </si>
  <si>
    <t xml:space="preserve">Plains</t>
  </si>
  <si>
    <t xml:space="preserve">Owned</t>
  </si>
  <si>
    <t xml:space="preserve">Basic White. Supports the double- and triple-white costs and Emeria.</t>
  </si>
  <si>
    <t xml:space="preserve">Mountain</t>
  </si>
  <si>
    <t xml:space="preserve">R</t>
  </si>
  <si>
    <t xml:space="preserve">Basic Red for Aurelia and Gisela.</t>
  </si>
  <si>
    <t xml:space="preserve">Swamp</t>
  </si>
  <si>
    <t xml:space="preserve">Basic Black for Angel of Despair, Angel of Suffering and Fallen Angel.</t>
  </si>
  <si>
    <t xml:space="preserve">Forest</t>
  </si>
  <si>
    <t xml:space="preserve">G</t>
  </si>
  <si>
    <t xml:space="preserve">Basic Green for Sigarda and Atraxa.</t>
  </si>
  <si>
    <t xml:space="preserve">Island</t>
  </si>
  <si>
    <t xml:space="preserve">U</t>
  </si>
  <si>
    <t xml:space="preserve">Basic Blue exists solely for Atraxa - there is essentially no other blue Angel worth playing.</t>
  </si>
  <si>
    <t xml:space="preserve">Commander Deck Dashboard &amp; Analytics (v1)</t>
  </si>
  <si>
    <t xml:space="preserve">Key Deck Metrics</t>
  </si>
  <si>
    <t xml:space="preserve">Metric</t>
  </si>
  <si>
    <t xml:space="preserve">Value</t>
  </si>
  <si>
    <t xml:space="preserve">Total Cards</t>
  </si>
  <si>
    <t xml:space="preserve">Total Deck Cost (USD)</t>
  </si>
  <si>
    <t xml:space="preserve">USD → CAD Rate</t>
  </si>
  <si>
    <t xml:space="preserve">Total Deck Cost (CAD)</t>
  </si>
  <si>
    <t xml:space="preserve">Max Mana Value</t>
  </si>
  <si>
    <t xml:space="preserve">Avg Mana Value (Spells)</t>
  </si>
  <si>
    <t xml:space="preserve">Total Angels</t>
  </si>
  <si>
    <t xml:space="preserve">Off-Colour Angels</t>
  </si>
  <si>
    <t xml:space="preserve">Total Lands</t>
  </si>
  <si>
    <t xml:space="preserve">Basic Lands</t>
  </si>
  <si>
    <t xml:space="preserve">Any-Colour Sources (lands + rocks)</t>
  </si>
  <si>
    <t xml:space="preserve">Cavern / Unclaimed / Courtyard / Ziggurat / City / Confluence / Coliseum / Orchard / Reflecting Pool + Lantern / Relic / Lotus / Fellwar. Manually counted.</t>
  </si>
  <si>
    <t xml:space="preserve">Mana Curve</t>
  </si>
  <si>
    <t xml:space="preserve">Count</t>
  </si>
  <si>
    <t xml:space="preserve">Category Breakdown</t>
  </si>
  <si>
    <t xml:space="preserve">Total</t>
  </si>
  <si>
    <t xml:space="preserve">Card Type Breakdown</t>
  </si>
  <si>
    <t xml:space="preserve">Notes on this sheet</t>
  </si>
  <si>
    <t xml:space="preserve">• Prices in Decklist column H are rough placeholder estimates only - update from TCGplayer / Face to Face before ordering.</t>
  </si>
  <si>
    <t xml:space="preserve">• Yellow cells are inputs. C9 (FX rate) is carried over from the Lorehold v15 build at 1 USD = 1.4203 CAD.</t>
  </si>
  <si>
    <t xml:space="preserve">• Burnished Hart and Solemn Simulacrum are artifact creatures; they are counted as Creature in the type breakdown.</t>
  </si>
  <si>
    <t xml:space="preserve">• Steel Seraph is listed at MV 5 (its prototype cost is {1}{W}{W}), so the curve above is slightly pessimistic.</t>
  </si>
  <si>
    <t xml:space="preserve">• Legality rule for this deck: every non-Angel card must be white or colourless. Angels and basic lands may be any colour.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</si>
</sst>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General"/>
    <numFmt numFmtId="167" formatCode="0.0000"/>
    <numFmt numFmtId="168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8B0000"/>
      <name val="Segoe UI"/>
      <family val="0"/>
      <charset val="1"/>
    </font>
    <font>
      <b val="true"/>
      <sz val="11"/>
      <color rgb="FFFFFFFF"/>
      <name val="Segoe UI"/>
      <family val="0"/>
      <charset val="1"/>
    </font>
    <font>
      <sz val="11"/>
      <name val="Segoe UI"/>
      <family val="0"/>
      <charset val="1"/>
    </font>
    <font>
      <sz val="12"/>
      <color rgb="FF555555"/>
      <name val="Segoe UI"/>
      <family val="0"/>
      <charset val="1"/>
    </font>
    <font>
      <b val="true"/>
      <sz val="14"/>
      <color rgb="FF8B0000"/>
      <name val="Segoe UI"/>
      <family val="0"/>
      <charset val="1"/>
    </font>
    <font>
      <b val="true"/>
      <sz val="11"/>
      <name val="Segoe UI"/>
      <family val="0"/>
      <charset val="1"/>
    </font>
    <font>
      <sz val="11"/>
      <color rgb="FF0000FF"/>
      <name val="Segoe UI"/>
      <family val="0"/>
      <charset val="1"/>
    </font>
    <font>
      <i val="true"/>
      <sz val="9"/>
      <color rgb="FF777777"/>
      <name val="Segoe UI"/>
      <family val="0"/>
      <charset val="1"/>
    </font>
    <font>
      <sz val="10"/>
      <color rgb="FF555555"/>
      <name val="Segoe U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8B0000"/>
        <bgColor rgb="FF8000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8B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20.57"/>
    <col collapsed="false" customWidth="true" hidden="false" outlineLevel="0" max="10" min="10" style="0" width="94"/>
  </cols>
  <sheetData>
    <row r="1" customFormat="false" ht="22.05" hidden="false" customHeight="false" outlineLevel="0" collapsed="false">
      <c r="A1" s="1" t="s">
        <v>0</v>
      </c>
    </row>
    <row r="3" customFormat="false" ht="28.3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customFormat="false" ht="28.35" hidden="false" customHeight="false" outlineLevel="0" collapsed="false">
      <c r="A4" s="3" t="n">
        <v>1</v>
      </c>
      <c r="B4" s="4" t="s">
        <v>11</v>
      </c>
      <c r="C4" s="4" t="s">
        <v>12</v>
      </c>
      <c r="D4" s="4" t="s">
        <v>13</v>
      </c>
      <c r="E4" s="3" t="n">
        <v>5</v>
      </c>
      <c r="F4" s="3" t="s">
        <v>14</v>
      </c>
      <c r="G4" s="3" t="s">
        <v>15</v>
      </c>
      <c r="H4" s="5" t="n">
        <v>30</v>
      </c>
      <c r="I4" s="4" t="s">
        <v>16</v>
      </c>
      <c r="J4" s="6" t="s">
        <v>17</v>
      </c>
    </row>
    <row r="5" customFormat="false" ht="28.35" hidden="false" customHeight="false" outlineLevel="0" collapsed="false">
      <c r="A5" s="3" t="n">
        <v>1</v>
      </c>
      <c r="B5" s="4" t="s">
        <v>18</v>
      </c>
      <c r="C5" s="4" t="s">
        <v>19</v>
      </c>
      <c r="D5" s="4" t="s">
        <v>13</v>
      </c>
      <c r="E5" s="3" t="n">
        <v>2</v>
      </c>
      <c r="F5" s="3" t="s">
        <v>14</v>
      </c>
      <c r="G5" s="3" t="s">
        <v>15</v>
      </c>
      <c r="H5" s="5" t="n">
        <v>3</v>
      </c>
      <c r="I5" s="4" t="s">
        <v>16</v>
      </c>
      <c r="J5" s="6" t="s">
        <v>20</v>
      </c>
    </row>
    <row r="6" customFormat="false" ht="15" hidden="false" customHeight="false" outlineLevel="0" collapsed="false">
      <c r="A6" s="3" t="n">
        <v>1</v>
      </c>
      <c r="B6" s="4" t="s">
        <v>18</v>
      </c>
      <c r="C6" s="4" t="s">
        <v>21</v>
      </c>
      <c r="D6" s="4" t="s">
        <v>13</v>
      </c>
      <c r="E6" s="3" t="n">
        <v>3</v>
      </c>
      <c r="F6" s="3" t="s">
        <v>14</v>
      </c>
      <c r="G6" s="3" t="s">
        <v>22</v>
      </c>
      <c r="H6" s="5" t="n">
        <v>3</v>
      </c>
      <c r="I6" s="4" t="s">
        <v>16</v>
      </c>
      <c r="J6" s="6" t="s">
        <v>23</v>
      </c>
    </row>
    <row r="7" customFormat="false" ht="15" hidden="false" customHeight="false" outlineLevel="0" collapsed="false">
      <c r="A7" s="3" t="n">
        <v>1</v>
      </c>
      <c r="B7" s="4" t="s">
        <v>18</v>
      </c>
      <c r="C7" s="4" t="s">
        <v>24</v>
      </c>
      <c r="D7" s="4" t="s">
        <v>13</v>
      </c>
      <c r="E7" s="3" t="n">
        <v>3</v>
      </c>
      <c r="F7" s="3" t="s">
        <v>14</v>
      </c>
      <c r="G7" s="3" t="s">
        <v>22</v>
      </c>
      <c r="H7" s="5" t="n">
        <v>1</v>
      </c>
      <c r="I7" s="4" t="s">
        <v>16</v>
      </c>
      <c r="J7" s="6" t="s">
        <v>25</v>
      </c>
    </row>
    <row r="8" customFormat="false" ht="15" hidden="false" customHeight="false" outlineLevel="0" collapsed="false">
      <c r="A8" s="3" t="n">
        <v>1</v>
      </c>
      <c r="B8" s="4" t="s">
        <v>18</v>
      </c>
      <c r="C8" s="4" t="s">
        <v>26</v>
      </c>
      <c r="D8" s="4" t="s">
        <v>13</v>
      </c>
      <c r="E8" s="3" t="n">
        <v>3</v>
      </c>
      <c r="F8" s="3" t="s">
        <v>14</v>
      </c>
      <c r="G8" s="3" t="s">
        <v>22</v>
      </c>
      <c r="H8" s="5" t="n">
        <v>0.5</v>
      </c>
      <c r="I8" s="4" t="s">
        <v>16</v>
      </c>
      <c r="J8" s="6" t="s">
        <v>27</v>
      </c>
    </row>
    <row r="9" customFormat="false" ht="15" hidden="false" customHeight="false" outlineLevel="0" collapsed="false">
      <c r="A9" s="3" t="n">
        <v>1</v>
      </c>
      <c r="B9" s="4" t="s">
        <v>18</v>
      </c>
      <c r="C9" s="4" t="s">
        <v>28</v>
      </c>
      <c r="D9" s="4" t="s">
        <v>13</v>
      </c>
      <c r="E9" s="3" t="n">
        <v>4</v>
      </c>
      <c r="F9" s="3" t="s">
        <v>14</v>
      </c>
      <c r="G9" s="3" t="s">
        <v>22</v>
      </c>
      <c r="H9" s="5" t="n">
        <v>15</v>
      </c>
      <c r="I9" s="4" t="s">
        <v>16</v>
      </c>
      <c r="J9" s="6" t="s">
        <v>29</v>
      </c>
    </row>
    <row r="10" customFormat="false" ht="28.35" hidden="false" customHeight="false" outlineLevel="0" collapsed="false">
      <c r="A10" s="3" t="n">
        <v>1</v>
      </c>
      <c r="B10" s="4" t="s">
        <v>18</v>
      </c>
      <c r="C10" s="4" t="s">
        <v>30</v>
      </c>
      <c r="D10" s="4" t="s">
        <v>13</v>
      </c>
      <c r="E10" s="3" t="n">
        <v>4</v>
      </c>
      <c r="F10" s="3" t="s">
        <v>14</v>
      </c>
      <c r="G10" s="3" t="s">
        <v>22</v>
      </c>
      <c r="H10" s="5" t="n">
        <v>1</v>
      </c>
      <c r="I10" s="4" t="s">
        <v>16</v>
      </c>
      <c r="J10" s="6" t="s">
        <v>31</v>
      </c>
    </row>
    <row r="11" customFormat="false" ht="28.35" hidden="false" customHeight="false" outlineLevel="0" collapsed="false">
      <c r="A11" s="3" t="n">
        <v>1</v>
      </c>
      <c r="B11" s="4" t="s">
        <v>18</v>
      </c>
      <c r="C11" s="4" t="s">
        <v>32</v>
      </c>
      <c r="D11" s="4" t="s">
        <v>13</v>
      </c>
      <c r="E11" s="3" t="n">
        <v>4</v>
      </c>
      <c r="F11" s="3" t="s">
        <v>33</v>
      </c>
      <c r="G11" s="3" t="s">
        <v>22</v>
      </c>
      <c r="H11" s="5" t="n">
        <v>5</v>
      </c>
      <c r="I11" s="4" t="s">
        <v>16</v>
      </c>
      <c r="J11" s="6" t="s">
        <v>34</v>
      </c>
    </row>
    <row r="12" customFormat="false" ht="28.35" hidden="false" customHeight="false" outlineLevel="0" collapsed="false">
      <c r="A12" s="3" t="n">
        <v>1</v>
      </c>
      <c r="B12" s="4" t="s">
        <v>18</v>
      </c>
      <c r="C12" s="4" t="s">
        <v>35</v>
      </c>
      <c r="D12" s="4" t="s">
        <v>13</v>
      </c>
      <c r="E12" s="3" t="n">
        <v>4</v>
      </c>
      <c r="F12" s="3" t="s">
        <v>36</v>
      </c>
      <c r="G12" s="3" t="s">
        <v>15</v>
      </c>
      <c r="H12" s="5" t="n">
        <v>0.5</v>
      </c>
      <c r="I12" s="4" t="s">
        <v>16</v>
      </c>
      <c r="J12" s="6" t="s">
        <v>37</v>
      </c>
    </row>
    <row r="13" customFormat="false" ht="15" hidden="false" customHeight="false" outlineLevel="0" collapsed="false">
      <c r="A13" s="3" t="n">
        <v>1</v>
      </c>
      <c r="B13" s="4" t="s">
        <v>18</v>
      </c>
      <c r="C13" s="4" t="s">
        <v>38</v>
      </c>
      <c r="D13" s="4" t="s">
        <v>13</v>
      </c>
      <c r="E13" s="3" t="n">
        <v>4</v>
      </c>
      <c r="F13" s="3" t="s">
        <v>39</v>
      </c>
      <c r="G13" s="3" t="s">
        <v>22</v>
      </c>
      <c r="H13" s="5" t="n">
        <v>1</v>
      </c>
      <c r="I13" s="4" t="s">
        <v>16</v>
      </c>
      <c r="J13" s="6" t="s">
        <v>40</v>
      </c>
    </row>
    <row r="14" customFormat="false" ht="28.35" hidden="false" customHeight="false" outlineLevel="0" collapsed="false">
      <c r="A14" s="3" t="n">
        <v>1</v>
      </c>
      <c r="B14" s="4" t="s">
        <v>18</v>
      </c>
      <c r="C14" s="4" t="s">
        <v>41</v>
      </c>
      <c r="D14" s="4" t="s">
        <v>13</v>
      </c>
      <c r="E14" s="3" t="n">
        <v>5</v>
      </c>
      <c r="F14" s="3" t="s">
        <v>14</v>
      </c>
      <c r="G14" s="3" t="s">
        <v>22</v>
      </c>
      <c r="H14" s="5" t="n">
        <v>1</v>
      </c>
      <c r="I14" s="4" t="s">
        <v>16</v>
      </c>
      <c r="J14" s="6" t="s">
        <v>42</v>
      </c>
    </row>
    <row r="15" customFormat="false" ht="28.35" hidden="false" customHeight="false" outlineLevel="0" collapsed="false">
      <c r="A15" s="3" t="n">
        <v>1</v>
      </c>
      <c r="B15" s="4" t="s">
        <v>18</v>
      </c>
      <c r="C15" s="4" t="s">
        <v>43</v>
      </c>
      <c r="D15" s="4" t="s">
        <v>13</v>
      </c>
      <c r="E15" s="3" t="n">
        <v>5</v>
      </c>
      <c r="F15" s="3" t="s">
        <v>14</v>
      </c>
      <c r="G15" s="3" t="s">
        <v>15</v>
      </c>
      <c r="H15" s="5" t="n">
        <v>6</v>
      </c>
      <c r="I15" s="4" t="s">
        <v>16</v>
      </c>
      <c r="J15" s="6" t="s">
        <v>44</v>
      </c>
    </row>
    <row r="16" customFormat="false" ht="15" hidden="false" customHeight="false" outlineLevel="0" collapsed="false">
      <c r="A16" s="3" t="n">
        <v>1</v>
      </c>
      <c r="B16" s="4" t="s">
        <v>18</v>
      </c>
      <c r="C16" s="4" t="s">
        <v>45</v>
      </c>
      <c r="D16" s="4" t="s">
        <v>13</v>
      </c>
      <c r="E16" s="3" t="n">
        <v>5</v>
      </c>
      <c r="F16" s="3" t="s">
        <v>14</v>
      </c>
      <c r="G16" s="3" t="s">
        <v>15</v>
      </c>
      <c r="H16" s="5" t="n">
        <v>5</v>
      </c>
      <c r="I16" s="4" t="s">
        <v>16</v>
      </c>
      <c r="J16" s="6" t="s">
        <v>46</v>
      </c>
    </row>
    <row r="17" customFormat="false" ht="15" hidden="false" customHeight="false" outlineLevel="0" collapsed="false">
      <c r="A17" s="3" t="n">
        <v>1</v>
      </c>
      <c r="B17" s="4" t="s">
        <v>18</v>
      </c>
      <c r="C17" s="4" t="s">
        <v>47</v>
      </c>
      <c r="D17" s="4" t="s">
        <v>13</v>
      </c>
      <c r="E17" s="3" t="n">
        <v>5</v>
      </c>
      <c r="F17" s="3" t="s">
        <v>14</v>
      </c>
      <c r="G17" s="3" t="s">
        <v>15</v>
      </c>
      <c r="H17" s="5" t="n">
        <v>8</v>
      </c>
      <c r="I17" s="4" t="s">
        <v>16</v>
      </c>
      <c r="J17" s="6" t="s">
        <v>48</v>
      </c>
    </row>
    <row r="18" customFormat="false" ht="15" hidden="false" customHeight="false" outlineLevel="0" collapsed="false">
      <c r="A18" s="3" t="n">
        <v>1</v>
      </c>
      <c r="B18" s="4" t="s">
        <v>18</v>
      </c>
      <c r="C18" s="4" t="s">
        <v>49</v>
      </c>
      <c r="D18" s="4" t="s">
        <v>13</v>
      </c>
      <c r="E18" s="3" t="n">
        <v>5</v>
      </c>
      <c r="F18" s="3" t="s">
        <v>14</v>
      </c>
      <c r="G18" s="3" t="s">
        <v>22</v>
      </c>
      <c r="H18" s="5" t="n">
        <v>3</v>
      </c>
      <c r="I18" s="4" t="s">
        <v>16</v>
      </c>
      <c r="J18" s="6" t="s">
        <v>50</v>
      </c>
    </row>
    <row r="19" customFormat="false" ht="28.35" hidden="false" customHeight="false" outlineLevel="0" collapsed="false">
      <c r="A19" s="3" t="n">
        <v>1</v>
      </c>
      <c r="B19" s="4" t="s">
        <v>18</v>
      </c>
      <c r="C19" s="4" t="s">
        <v>51</v>
      </c>
      <c r="D19" s="4" t="s">
        <v>13</v>
      </c>
      <c r="E19" s="3" t="n">
        <v>5</v>
      </c>
      <c r="F19" s="3" t="s">
        <v>36</v>
      </c>
      <c r="G19" s="3" t="s">
        <v>15</v>
      </c>
      <c r="H19" s="5" t="n">
        <v>1</v>
      </c>
      <c r="I19" s="4" t="s">
        <v>16</v>
      </c>
      <c r="J19" s="6" t="s">
        <v>52</v>
      </c>
    </row>
    <row r="20" customFormat="false" ht="15" hidden="false" customHeight="false" outlineLevel="0" collapsed="false">
      <c r="A20" s="3" t="n">
        <v>1</v>
      </c>
      <c r="B20" s="4" t="s">
        <v>18</v>
      </c>
      <c r="C20" s="4" t="s">
        <v>53</v>
      </c>
      <c r="D20" s="4" t="s">
        <v>13</v>
      </c>
      <c r="E20" s="3" t="n">
        <v>5</v>
      </c>
      <c r="F20" s="3" t="s">
        <v>14</v>
      </c>
      <c r="G20" s="3" t="s">
        <v>22</v>
      </c>
      <c r="H20" s="5" t="n">
        <v>0.5</v>
      </c>
      <c r="I20" s="4" t="s">
        <v>16</v>
      </c>
      <c r="J20" s="6" t="s">
        <v>54</v>
      </c>
    </row>
    <row r="21" customFormat="false" ht="28.35" hidden="false" customHeight="false" outlineLevel="0" collapsed="false">
      <c r="A21" s="3" t="n">
        <v>1</v>
      </c>
      <c r="B21" s="4" t="s">
        <v>18</v>
      </c>
      <c r="C21" s="4" t="s">
        <v>55</v>
      </c>
      <c r="D21" s="4" t="s">
        <v>13</v>
      </c>
      <c r="E21" s="3" t="n">
        <v>6</v>
      </c>
      <c r="F21" s="3" t="s">
        <v>39</v>
      </c>
      <c r="G21" s="3" t="s">
        <v>15</v>
      </c>
      <c r="H21" s="5" t="n">
        <v>8</v>
      </c>
      <c r="I21" s="4" t="s">
        <v>16</v>
      </c>
      <c r="J21" s="6" t="s">
        <v>56</v>
      </c>
    </row>
    <row r="22" customFormat="false" ht="28.35" hidden="false" customHeight="false" outlineLevel="0" collapsed="false">
      <c r="A22" s="3" t="n">
        <v>1</v>
      </c>
      <c r="B22" s="4" t="s">
        <v>18</v>
      </c>
      <c r="C22" s="4" t="s">
        <v>57</v>
      </c>
      <c r="D22" s="4" t="s">
        <v>13</v>
      </c>
      <c r="E22" s="3" t="n">
        <v>6</v>
      </c>
      <c r="F22" s="3" t="s">
        <v>58</v>
      </c>
      <c r="G22" s="3" t="s">
        <v>22</v>
      </c>
      <c r="H22" s="5" t="n">
        <v>1</v>
      </c>
      <c r="I22" s="4" t="s">
        <v>16</v>
      </c>
      <c r="J22" s="6" t="s">
        <v>59</v>
      </c>
    </row>
    <row r="23" customFormat="false" ht="15" hidden="false" customHeight="false" outlineLevel="0" collapsed="false">
      <c r="A23" s="3" t="n">
        <v>1</v>
      </c>
      <c r="B23" s="4" t="s">
        <v>18</v>
      </c>
      <c r="C23" s="4" t="s">
        <v>60</v>
      </c>
      <c r="D23" s="4" t="s">
        <v>13</v>
      </c>
      <c r="E23" s="3" t="n">
        <v>6</v>
      </c>
      <c r="F23" s="3" t="s">
        <v>14</v>
      </c>
      <c r="G23" s="3" t="s">
        <v>22</v>
      </c>
      <c r="H23" s="5" t="n">
        <v>0.5</v>
      </c>
      <c r="I23" s="4" t="s">
        <v>16</v>
      </c>
      <c r="J23" s="6" t="s">
        <v>61</v>
      </c>
    </row>
    <row r="24" customFormat="false" ht="15" hidden="false" customHeight="false" outlineLevel="0" collapsed="false">
      <c r="A24" s="3" t="n">
        <v>1</v>
      </c>
      <c r="B24" s="4" t="s">
        <v>18</v>
      </c>
      <c r="C24" s="4" t="s">
        <v>62</v>
      </c>
      <c r="D24" s="4" t="s">
        <v>13</v>
      </c>
      <c r="E24" s="3" t="n">
        <v>6</v>
      </c>
      <c r="F24" s="3" t="s">
        <v>14</v>
      </c>
      <c r="G24" s="3" t="s">
        <v>22</v>
      </c>
      <c r="H24" s="5" t="n">
        <v>0.5</v>
      </c>
      <c r="I24" s="4" t="s">
        <v>16</v>
      </c>
      <c r="J24" s="6" t="s">
        <v>63</v>
      </c>
    </row>
    <row r="25" customFormat="false" ht="28.35" hidden="false" customHeight="false" outlineLevel="0" collapsed="false">
      <c r="A25" s="3" t="n">
        <v>1</v>
      </c>
      <c r="B25" s="4" t="s">
        <v>18</v>
      </c>
      <c r="C25" s="4" t="s">
        <v>64</v>
      </c>
      <c r="D25" s="4" t="s">
        <v>13</v>
      </c>
      <c r="E25" s="3" t="n">
        <v>7</v>
      </c>
      <c r="F25" s="3" t="s">
        <v>14</v>
      </c>
      <c r="G25" s="3" t="s">
        <v>15</v>
      </c>
      <c r="H25" s="5" t="n">
        <v>2</v>
      </c>
      <c r="I25" s="4" t="s">
        <v>16</v>
      </c>
      <c r="J25" s="6" t="s">
        <v>65</v>
      </c>
    </row>
    <row r="26" customFormat="false" ht="28.35" hidden="false" customHeight="false" outlineLevel="0" collapsed="false">
      <c r="A26" s="3" t="n">
        <v>1</v>
      </c>
      <c r="B26" s="4" t="s">
        <v>18</v>
      </c>
      <c r="C26" s="4" t="s">
        <v>66</v>
      </c>
      <c r="D26" s="4" t="s">
        <v>13</v>
      </c>
      <c r="E26" s="3" t="n">
        <v>7</v>
      </c>
      <c r="F26" s="3" t="s">
        <v>14</v>
      </c>
      <c r="G26" s="3" t="s">
        <v>22</v>
      </c>
      <c r="H26" s="5" t="n">
        <v>1</v>
      </c>
      <c r="I26" s="4" t="s">
        <v>16</v>
      </c>
      <c r="J26" s="6" t="s">
        <v>67</v>
      </c>
    </row>
    <row r="27" customFormat="false" ht="28.35" hidden="false" customHeight="false" outlineLevel="0" collapsed="false">
      <c r="A27" s="3" t="n">
        <v>1</v>
      </c>
      <c r="B27" s="4" t="s">
        <v>18</v>
      </c>
      <c r="C27" s="4" t="s">
        <v>68</v>
      </c>
      <c r="D27" s="4" t="s">
        <v>13</v>
      </c>
      <c r="E27" s="3" t="n">
        <v>7</v>
      </c>
      <c r="F27" s="3" t="s">
        <v>14</v>
      </c>
      <c r="G27" s="3" t="s">
        <v>22</v>
      </c>
      <c r="H27" s="5" t="n">
        <v>0.5</v>
      </c>
      <c r="I27" s="4" t="s">
        <v>16</v>
      </c>
      <c r="J27" s="6" t="s">
        <v>69</v>
      </c>
    </row>
    <row r="28" customFormat="false" ht="15" hidden="false" customHeight="false" outlineLevel="0" collapsed="false">
      <c r="A28" s="3" t="n">
        <v>1</v>
      </c>
      <c r="B28" s="4" t="s">
        <v>18</v>
      </c>
      <c r="C28" s="4" t="s">
        <v>70</v>
      </c>
      <c r="D28" s="4" t="s">
        <v>13</v>
      </c>
      <c r="E28" s="3" t="n">
        <v>7</v>
      </c>
      <c r="F28" s="3" t="s">
        <v>39</v>
      </c>
      <c r="G28" s="3" t="s">
        <v>22</v>
      </c>
      <c r="H28" s="5" t="n">
        <v>4</v>
      </c>
      <c r="I28" s="4" t="s">
        <v>16</v>
      </c>
      <c r="J28" s="6" t="s">
        <v>71</v>
      </c>
    </row>
    <row r="29" customFormat="false" ht="28.35" hidden="false" customHeight="false" outlineLevel="0" collapsed="false">
      <c r="A29" s="3" t="n">
        <v>1</v>
      </c>
      <c r="B29" s="4" t="s">
        <v>18</v>
      </c>
      <c r="C29" s="4" t="s">
        <v>72</v>
      </c>
      <c r="D29" s="4" t="s">
        <v>13</v>
      </c>
      <c r="E29" s="3" t="n">
        <v>7</v>
      </c>
      <c r="F29" s="3" t="s">
        <v>73</v>
      </c>
      <c r="G29" s="3" t="s">
        <v>15</v>
      </c>
      <c r="H29" s="5" t="n">
        <v>20</v>
      </c>
      <c r="I29" s="4" t="s">
        <v>16</v>
      </c>
      <c r="J29" s="6" t="s">
        <v>74</v>
      </c>
    </row>
    <row r="30" customFormat="false" ht="28.35" hidden="false" customHeight="false" outlineLevel="0" collapsed="false">
      <c r="A30" s="3" t="n">
        <v>1</v>
      </c>
      <c r="B30" s="4" t="s">
        <v>18</v>
      </c>
      <c r="C30" s="4" t="s">
        <v>75</v>
      </c>
      <c r="D30" s="4" t="s">
        <v>13</v>
      </c>
      <c r="E30" s="3" t="n">
        <v>7</v>
      </c>
      <c r="F30" s="3" t="s">
        <v>14</v>
      </c>
      <c r="G30" s="3" t="s">
        <v>15</v>
      </c>
      <c r="H30" s="5" t="n">
        <v>1</v>
      </c>
      <c r="I30" s="4" t="s">
        <v>16</v>
      </c>
      <c r="J30" s="6" t="s">
        <v>76</v>
      </c>
    </row>
    <row r="31" customFormat="false" ht="28.35" hidden="false" customHeight="false" outlineLevel="0" collapsed="false">
      <c r="A31" s="3" t="n">
        <v>1</v>
      </c>
      <c r="B31" s="4" t="s">
        <v>18</v>
      </c>
      <c r="C31" s="4" t="s">
        <v>77</v>
      </c>
      <c r="D31" s="4" t="s">
        <v>13</v>
      </c>
      <c r="E31" s="3" t="n">
        <v>7</v>
      </c>
      <c r="F31" s="3" t="s">
        <v>14</v>
      </c>
      <c r="G31" s="3" t="s">
        <v>15</v>
      </c>
      <c r="H31" s="5" t="n">
        <v>3</v>
      </c>
      <c r="I31" s="4" t="s">
        <v>16</v>
      </c>
      <c r="J31" s="6" t="s">
        <v>78</v>
      </c>
    </row>
    <row r="32" customFormat="false" ht="15" hidden="false" customHeight="false" outlineLevel="0" collapsed="false">
      <c r="A32" s="3" t="n">
        <v>1</v>
      </c>
      <c r="B32" s="4" t="s">
        <v>18</v>
      </c>
      <c r="C32" s="4" t="s">
        <v>79</v>
      </c>
      <c r="D32" s="4" t="s">
        <v>13</v>
      </c>
      <c r="E32" s="3" t="n">
        <v>8</v>
      </c>
      <c r="F32" s="3" t="s">
        <v>14</v>
      </c>
      <c r="G32" s="3" t="s">
        <v>15</v>
      </c>
      <c r="H32" s="5" t="n">
        <v>20</v>
      </c>
      <c r="I32" s="4" t="s">
        <v>16</v>
      </c>
      <c r="J32" s="6" t="s">
        <v>80</v>
      </c>
    </row>
    <row r="33" customFormat="false" ht="15" hidden="false" customHeight="false" outlineLevel="0" collapsed="false">
      <c r="A33" s="3" t="n">
        <v>1</v>
      </c>
      <c r="B33" s="4" t="s">
        <v>81</v>
      </c>
      <c r="C33" s="4" t="s">
        <v>82</v>
      </c>
      <c r="D33" s="4" t="s">
        <v>83</v>
      </c>
      <c r="E33" s="3" t="n">
        <v>1</v>
      </c>
      <c r="F33" s="3" t="s">
        <v>84</v>
      </c>
      <c r="G33" s="3" t="s">
        <v>15</v>
      </c>
      <c r="H33" s="5" t="n">
        <v>1.5</v>
      </c>
      <c r="I33" s="4" t="s">
        <v>85</v>
      </c>
      <c r="J33" s="6" t="s">
        <v>86</v>
      </c>
    </row>
    <row r="34" customFormat="false" ht="28.35" hidden="false" customHeight="false" outlineLevel="0" collapsed="false">
      <c r="A34" s="3" t="n">
        <v>1</v>
      </c>
      <c r="B34" s="4" t="s">
        <v>81</v>
      </c>
      <c r="C34" s="4" t="s">
        <v>87</v>
      </c>
      <c r="D34" s="4" t="s">
        <v>13</v>
      </c>
      <c r="E34" s="3" t="n">
        <v>1</v>
      </c>
      <c r="F34" s="3" t="s">
        <v>14</v>
      </c>
      <c r="G34" s="3" t="s">
        <v>15</v>
      </c>
      <c r="H34" s="5" t="n">
        <v>4</v>
      </c>
      <c r="I34" s="4" t="s">
        <v>16</v>
      </c>
      <c r="J34" s="6" t="s">
        <v>88</v>
      </c>
    </row>
    <row r="35" customFormat="false" ht="15" hidden="false" customHeight="false" outlineLevel="0" collapsed="false">
      <c r="A35" s="3" t="n">
        <v>1</v>
      </c>
      <c r="B35" s="4" t="s">
        <v>81</v>
      </c>
      <c r="C35" s="4" t="s">
        <v>89</v>
      </c>
      <c r="D35" s="4" t="s">
        <v>83</v>
      </c>
      <c r="E35" s="3" t="n">
        <v>2</v>
      </c>
      <c r="F35" s="3" t="s">
        <v>84</v>
      </c>
      <c r="G35" s="3" t="s">
        <v>22</v>
      </c>
      <c r="H35" s="5" t="n">
        <v>1</v>
      </c>
      <c r="I35" s="4" t="s">
        <v>16</v>
      </c>
      <c r="J35" s="6" t="s">
        <v>90</v>
      </c>
    </row>
    <row r="36" customFormat="false" ht="28.35" hidden="false" customHeight="false" outlineLevel="0" collapsed="false">
      <c r="A36" s="3" t="n">
        <v>1</v>
      </c>
      <c r="B36" s="4" t="s">
        <v>81</v>
      </c>
      <c r="C36" s="4" t="s">
        <v>91</v>
      </c>
      <c r="D36" s="4" t="s">
        <v>83</v>
      </c>
      <c r="E36" s="3" t="n">
        <v>3</v>
      </c>
      <c r="F36" s="3" t="s">
        <v>84</v>
      </c>
      <c r="G36" s="3" t="s">
        <v>15</v>
      </c>
      <c r="H36" s="5" t="n">
        <v>3</v>
      </c>
      <c r="I36" s="4" t="s">
        <v>16</v>
      </c>
      <c r="J36" s="6" t="s">
        <v>92</v>
      </c>
    </row>
    <row r="37" customFormat="false" ht="15" hidden="false" customHeight="false" outlineLevel="0" collapsed="false">
      <c r="A37" s="3" t="n">
        <v>1</v>
      </c>
      <c r="B37" s="4" t="s">
        <v>81</v>
      </c>
      <c r="C37" s="4" t="s">
        <v>93</v>
      </c>
      <c r="D37" s="4" t="s">
        <v>83</v>
      </c>
      <c r="E37" s="3" t="n">
        <v>3</v>
      </c>
      <c r="F37" s="3" t="s">
        <v>84</v>
      </c>
      <c r="G37" s="3" t="s">
        <v>15</v>
      </c>
      <c r="H37" s="5" t="n">
        <v>6</v>
      </c>
      <c r="I37" s="4" t="s">
        <v>16</v>
      </c>
      <c r="J37" s="6" t="s">
        <v>94</v>
      </c>
    </row>
    <row r="38" customFormat="false" ht="28.35" hidden="false" customHeight="false" outlineLevel="0" collapsed="false">
      <c r="A38" s="3" t="n">
        <v>1</v>
      </c>
      <c r="B38" s="4" t="s">
        <v>81</v>
      </c>
      <c r="C38" s="4" t="s">
        <v>95</v>
      </c>
      <c r="D38" s="4" t="s">
        <v>13</v>
      </c>
      <c r="E38" s="3" t="n">
        <v>3</v>
      </c>
      <c r="F38" s="3" t="s">
        <v>84</v>
      </c>
      <c r="G38" s="3" t="s">
        <v>15</v>
      </c>
      <c r="H38" s="5" t="n">
        <v>1</v>
      </c>
      <c r="I38" s="4" t="s">
        <v>16</v>
      </c>
      <c r="J38" s="6" t="s">
        <v>96</v>
      </c>
    </row>
    <row r="39" customFormat="false" ht="15" hidden="false" customHeight="false" outlineLevel="0" collapsed="false">
      <c r="A39" s="3" t="n">
        <v>1</v>
      </c>
      <c r="B39" s="4" t="s">
        <v>81</v>
      </c>
      <c r="C39" s="4" t="s">
        <v>97</v>
      </c>
      <c r="D39" s="4" t="s">
        <v>83</v>
      </c>
      <c r="E39" s="3" t="n">
        <v>3</v>
      </c>
      <c r="F39" s="3" t="s">
        <v>84</v>
      </c>
      <c r="G39" s="3" t="s">
        <v>22</v>
      </c>
      <c r="H39" s="5" t="n">
        <v>3</v>
      </c>
      <c r="I39" s="4" t="s">
        <v>16</v>
      </c>
      <c r="J39" s="6" t="s">
        <v>98</v>
      </c>
    </row>
    <row r="40" customFormat="false" ht="15" hidden="false" customHeight="false" outlineLevel="0" collapsed="false">
      <c r="A40" s="3" t="n">
        <v>1</v>
      </c>
      <c r="B40" s="4" t="s">
        <v>81</v>
      </c>
      <c r="C40" s="4" t="s">
        <v>99</v>
      </c>
      <c r="D40" s="4" t="s">
        <v>83</v>
      </c>
      <c r="E40" s="3" t="n">
        <v>3</v>
      </c>
      <c r="F40" s="3" t="s">
        <v>84</v>
      </c>
      <c r="G40" s="3" t="s">
        <v>22</v>
      </c>
      <c r="H40" s="5" t="n">
        <v>4</v>
      </c>
      <c r="I40" s="4" t="s">
        <v>16</v>
      </c>
      <c r="J40" s="6" t="s">
        <v>100</v>
      </c>
    </row>
    <row r="41" customFormat="false" ht="28.35" hidden="false" customHeight="false" outlineLevel="0" collapsed="false">
      <c r="A41" s="3" t="n">
        <v>1</v>
      </c>
      <c r="B41" s="4" t="s">
        <v>81</v>
      </c>
      <c r="C41" s="4" t="s">
        <v>101</v>
      </c>
      <c r="D41" s="4" t="s">
        <v>102</v>
      </c>
      <c r="E41" s="3" t="n">
        <v>4</v>
      </c>
      <c r="F41" s="3" t="s">
        <v>14</v>
      </c>
      <c r="G41" s="3" t="s">
        <v>15</v>
      </c>
      <c r="H41" s="5" t="n">
        <v>24</v>
      </c>
      <c r="I41" s="4" t="s">
        <v>103</v>
      </c>
      <c r="J41" s="6" t="s">
        <v>104</v>
      </c>
    </row>
    <row r="42" customFormat="false" ht="15" hidden="false" customHeight="false" outlineLevel="0" collapsed="false">
      <c r="A42" s="3" t="n">
        <v>1</v>
      </c>
      <c r="B42" s="4" t="s">
        <v>81</v>
      </c>
      <c r="C42" s="4" t="s">
        <v>105</v>
      </c>
      <c r="D42" s="4" t="s">
        <v>13</v>
      </c>
      <c r="E42" s="3" t="n">
        <v>4</v>
      </c>
      <c r="F42" s="3" t="s">
        <v>84</v>
      </c>
      <c r="G42" s="3" t="s">
        <v>22</v>
      </c>
      <c r="H42" s="5" t="n">
        <v>1</v>
      </c>
      <c r="I42" s="4" t="s">
        <v>16</v>
      </c>
      <c r="J42" s="6" t="s">
        <v>106</v>
      </c>
    </row>
    <row r="43" customFormat="false" ht="15" hidden="false" customHeight="false" outlineLevel="0" collapsed="false">
      <c r="A43" s="3" t="n">
        <v>1</v>
      </c>
      <c r="B43" s="4" t="s">
        <v>81</v>
      </c>
      <c r="C43" s="4" t="s">
        <v>107</v>
      </c>
      <c r="D43" s="4" t="s">
        <v>83</v>
      </c>
      <c r="E43" s="3" t="n">
        <v>5</v>
      </c>
      <c r="F43" s="3" t="s">
        <v>84</v>
      </c>
      <c r="G43" s="3" t="s">
        <v>22</v>
      </c>
      <c r="H43" s="5" t="n">
        <v>3</v>
      </c>
      <c r="I43" s="4" t="s">
        <v>16</v>
      </c>
      <c r="J43" s="6" t="s">
        <v>108</v>
      </c>
    </row>
    <row r="44" customFormat="false" ht="15" hidden="false" customHeight="false" outlineLevel="0" collapsed="false">
      <c r="A44" s="3" t="n">
        <v>1</v>
      </c>
      <c r="B44" s="4" t="s">
        <v>109</v>
      </c>
      <c r="C44" s="4" t="s">
        <v>110</v>
      </c>
      <c r="D44" s="4" t="s">
        <v>13</v>
      </c>
      <c r="E44" s="3" t="n">
        <v>1</v>
      </c>
      <c r="F44" s="3" t="s">
        <v>14</v>
      </c>
      <c r="G44" s="3" t="s">
        <v>15</v>
      </c>
      <c r="H44" s="5" t="n">
        <v>15</v>
      </c>
      <c r="I44" s="4" t="s">
        <v>16</v>
      </c>
      <c r="J44" s="6" t="s">
        <v>111</v>
      </c>
    </row>
    <row r="45" customFormat="false" ht="28.35" hidden="false" customHeight="false" outlineLevel="0" collapsed="false">
      <c r="A45" s="3" t="n">
        <v>1</v>
      </c>
      <c r="B45" s="4" t="s">
        <v>109</v>
      </c>
      <c r="C45" s="4" t="s">
        <v>112</v>
      </c>
      <c r="D45" s="4" t="s">
        <v>83</v>
      </c>
      <c r="E45" s="3" t="n">
        <v>3</v>
      </c>
      <c r="F45" s="3" t="s">
        <v>84</v>
      </c>
      <c r="G45" s="3" t="s">
        <v>22</v>
      </c>
      <c r="H45" s="5" t="n">
        <v>25</v>
      </c>
      <c r="I45" s="4" t="s">
        <v>16</v>
      </c>
      <c r="J45" s="6" t="s">
        <v>113</v>
      </c>
    </row>
    <row r="46" customFormat="false" ht="15" hidden="false" customHeight="false" outlineLevel="0" collapsed="false">
      <c r="A46" s="3" t="n">
        <v>1</v>
      </c>
      <c r="B46" s="4" t="s">
        <v>109</v>
      </c>
      <c r="C46" s="4" t="s">
        <v>114</v>
      </c>
      <c r="D46" s="4" t="s">
        <v>83</v>
      </c>
      <c r="E46" s="3" t="n">
        <v>4</v>
      </c>
      <c r="F46" s="3" t="s">
        <v>84</v>
      </c>
      <c r="G46" s="3" t="s">
        <v>22</v>
      </c>
      <c r="H46" s="5" t="n">
        <v>5</v>
      </c>
      <c r="I46" s="4" t="s">
        <v>16</v>
      </c>
      <c r="J46" s="6" t="s">
        <v>115</v>
      </c>
    </row>
    <row r="47" customFormat="false" ht="15" hidden="false" customHeight="false" outlineLevel="0" collapsed="false">
      <c r="A47" s="3" t="n">
        <v>1</v>
      </c>
      <c r="B47" s="4" t="s">
        <v>109</v>
      </c>
      <c r="C47" s="4" t="s">
        <v>116</v>
      </c>
      <c r="D47" s="4" t="s">
        <v>83</v>
      </c>
      <c r="E47" s="3" t="n">
        <v>5</v>
      </c>
      <c r="F47" s="3" t="s">
        <v>84</v>
      </c>
      <c r="G47" s="3" t="s">
        <v>22</v>
      </c>
      <c r="H47" s="5" t="n">
        <v>3</v>
      </c>
      <c r="I47" s="4" t="s">
        <v>16</v>
      </c>
      <c r="J47" s="6" t="s">
        <v>117</v>
      </c>
    </row>
    <row r="48" customFormat="false" ht="15" hidden="false" customHeight="false" outlineLevel="0" collapsed="false">
      <c r="A48" s="3" t="n">
        <v>1</v>
      </c>
      <c r="B48" s="4" t="s">
        <v>118</v>
      </c>
      <c r="C48" s="4" t="s">
        <v>119</v>
      </c>
      <c r="D48" s="4" t="s">
        <v>120</v>
      </c>
      <c r="E48" s="3" t="n">
        <v>1</v>
      </c>
      <c r="F48" s="3" t="s">
        <v>14</v>
      </c>
      <c r="G48" s="3" t="s">
        <v>15</v>
      </c>
      <c r="H48" s="5" t="n">
        <v>1.5</v>
      </c>
      <c r="I48" s="4" t="s">
        <v>85</v>
      </c>
      <c r="J48" s="6" t="s">
        <v>121</v>
      </c>
    </row>
    <row r="49" customFormat="false" ht="15" hidden="false" customHeight="false" outlineLevel="0" collapsed="false">
      <c r="A49" s="3" t="n">
        <v>1</v>
      </c>
      <c r="B49" s="4" t="s">
        <v>118</v>
      </c>
      <c r="C49" s="4" t="s">
        <v>122</v>
      </c>
      <c r="D49" s="4" t="s">
        <v>120</v>
      </c>
      <c r="E49" s="3" t="n">
        <v>1</v>
      </c>
      <c r="F49" s="3" t="s">
        <v>14</v>
      </c>
      <c r="G49" s="3" t="s">
        <v>22</v>
      </c>
      <c r="H49" s="5" t="n">
        <v>1.5</v>
      </c>
      <c r="I49" s="4" t="s">
        <v>85</v>
      </c>
      <c r="J49" s="6" t="s">
        <v>123</v>
      </c>
    </row>
    <row r="50" customFormat="false" ht="15" hidden="false" customHeight="false" outlineLevel="0" collapsed="false">
      <c r="A50" s="3" t="n">
        <v>1</v>
      </c>
      <c r="B50" s="4" t="s">
        <v>118</v>
      </c>
      <c r="C50" s="4" t="s">
        <v>124</v>
      </c>
      <c r="D50" s="4" t="s">
        <v>125</v>
      </c>
      <c r="E50" s="3" t="n">
        <v>2</v>
      </c>
      <c r="F50" s="3" t="s">
        <v>14</v>
      </c>
      <c r="G50" s="3" t="s">
        <v>15</v>
      </c>
      <c r="H50" s="5" t="n">
        <v>2</v>
      </c>
      <c r="I50" s="4" t="s">
        <v>16</v>
      </c>
      <c r="J50" s="6" t="s">
        <v>126</v>
      </c>
    </row>
    <row r="51" customFormat="false" ht="15" hidden="false" customHeight="false" outlineLevel="0" collapsed="false">
      <c r="A51" s="3" t="n">
        <v>1</v>
      </c>
      <c r="B51" s="4" t="s">
        <v>118</v>
      </c>
      <c r="C51" s="4" t="s">
        <v>127</v>
      </c>
      <c r="D51" s="4" t="s">
        <v>120</v>
      </c>
      <c r="E51" s="3" t="n">
        <v>3</v>
      </c>
      <c r="F51" s="3" t="s">
        <v>14</v>
      </c>
      <c r="G51" s="3" t="s">
        <v>22</v>
      </c>
      <c r="H51" s="5" t="n">
        <v>0.5</v>
      </c>
      <c r="I51" s="4" t="s">
        <v>85</v>
      </c>
      <c r="J51" s="6" t="s">
        <v>128</v>
      </c>
    </row>
    <row r="52" customFormat="false" ht="15" hidden="false" customHeight="false" outlineLevel="0" collapsed="false">
      <c r="A52" s="3" t="n">
        <v>1</v>
      </c>
      <c r="B52" s="4" t="s">
        <v>118</v>
      </c>
      <c r="C52" s="4" t="s">
        <v>129</v>
      </c>
      <c r="D52" s="4" t="s">
        <v>125</v>
      </c>
      <c r="E52" s="3" t="n">
        <v>4</v>
      </c>
      <c r="F52" s="3" t="s">
        <v>14</v>
      </c>
      <c r="G52" s="3" t="s">
        <v>22</v>
      </c>
      <c r="H52" s="5" t="n">
        <v>3</v>
      </c>
      <c r="I52" s="4" t="s">
        <v>16</v>
      </c>
      <c r="J52" s="6" t="s">
        <v>130</v>
      </c>
    </row>
    <row r="53" customFormat="false" ht="15" hidden="false" customHeight="false" outlineLevel="0" collapsed="false">
      <c r="A53" s="3" t="n">
        <v>1</v>
      </c>
      <c r="B53" s="4" t="s">
        <v>118</v>
      </c>
      <c r="C53" s="4" t="s">
        <v>131</v>
      </c>
      <c r="D53" s="4" t="s">
        <v>120</v>
      </c>
      <c r="E53" s="3" t="n">
        <v>4</v>
      </c>
      <c r="F53" s="3" t="s">
        <v>14</v>
      </c>
      <c r="G53" s="3" t="s">
        <v>22</v>
      </c>
      <c r="H53" s="5" t="n">
        <v>1</v>
      </c>
      <c r="I53" s="4" t="s">
        <v>16</v>
      </c>
      <c r="J53" s="6" t="s">
        <v>132</v>
      </c>
    </row>
    <row r="54" customFormat="false" ht="28.35" hidden="false" customHeight="false" outlineLevel="0" collapsed="false">
      <c r="A54" s="3" t="n">
        <v>1</v>
      </c>
      <c r="B54" s="4" t="s">
        <v>118</v>
      </c>
      <c r="C54" s="4" t="s">
        <v>133</v>
      </c>
      <c r="D54" s="4" t="s">
        <v>125</v>
      </c>
      <c r="E54" s="3" t="n">
        <v>6</v>
      </c>
      <c r="F54" s="3" t="s">
        <v>14</v>
      </c>
      <c r="G54" s="3" t="s">
        <v>22</v>
      </c>
      <c r="H54" s="5" t="n">
        <v>3</v>
      </c>
      <c r="I54" s="4" t="s">
        <v>16</v>
      </c>
      <c r="J54" s="6" t="s">
        <v>134</v>
      </c>
    </row>
    <row r="55" customFormat="false" ht="15" hidden="false" customHeight="false" outlineLevel="0" collapsed="false">
      <c r="A55" s="3" t="n">
        <v>1</v>
      </c>
      <c r="B55" s="4" t="s">
        <v>118</v>
      </c>
      <c r="C55" s="4" t="s">
        <v>135</v>
      </c>
      <c r="D55" s="4" t="s">
        <v>125</v>
      </c>
      <c r="E55" s="3" t="n">
        <v>6</v>
      </c>
      <c r="F55" s="3" t="s">
        <v>14</v>
      </c>
      <c r="G55" s="3" t="s">
        <v>15</v>
      </c>
      <c r="H55" s="5" t="n">
        <v>11</v>
      </c>
      <c r="I55" s="4" t="s">
        <v>85</v>
      </c>
      <c r="J55" s="6" t="s">
        <v>136</v>
      </c>
    </row>
    <row r="56" customFormat="false" ht="15" hidden="false" customHeight="false" outlineLevel="0" collapsed="false">
      <c r="A56" s="3" t="n">
        <v>1</v>
      </c>
      <c r="B56" s="4" t="s">
        <v>137</v>
      </c>
      <c r="C56" s="4" t="s">
        <v>138</v>
      </c>
      <c r="D56" s="4" t="s">
        <v>13</v>
      </c>
      <c r="E56" s="3" t="n">
        <v>1</v>
      </c>
      <c r="F56" s="3" t="s">
        <v>14</v>
      </c>
      <c r="G56" s="3" t="s">
        <v>15</v>
      </c>
      <c r="H56" s="5" t="n">
        <v>2</v>
      </c>
      <c r="I56" s="4" t="s">
        <v>85</v>
      </c>
      <c r="J56" s="6" t="s">
        <v>139</v>
      </c>
    </row>
    <row r="57" customFormat="false" ht="15" hidden="false" customHeight="false" outlineLevel="0" collapsed="false">
      <c r="A57" s="3" t="n">
        <v>1</v>
      </c>
      <c r="B57" s="4" t="s">
        <v>137</v>
      </c>
      <c r="C57" s="4" t="s">
        <v>140</v>
      </c>
      <c r="D57" s="4" t="s">
        <v>83</v>
      </c>
      <c r="E57" s="3" t="n">
        <v>2</v>
      </c>
      <c r="F57" s="3" t="s">
        <v>84</v>
      </c>
      <c r="G57" s="3" t="s">
        <v>15</v>
      </c>
      <c r="H57" s="5" t="n">
        <v>5</v>
      </c>
      <c r="I57" s="4" t="s">
        <v>85</v>
      </c>
      <c r="J57" s="6" t="s">
        <v>141</v>
      </c>
    </row>
    <row r="58" customFormat="false" ht="15" hidden="false" customHeight="false" outlineLevel="0" collapsed="false">
      <c r="A58" s="3" t="n">
        <v>1</v>
      </c>
      <c r="B58" s="4" t="s">
        <v>137</v>
      </c>
      <c r="C58" s="4" t="s">
        <v>142</v>
      </c>
      <c r="D58" s="4" t="s">
        <v>83</v>
      </c>
      <c r="E58" s="3" t="n">
        <v>2</v>
      </c>
      <c r="F58" s="3" t="s">
        <v>84</v>
      </c>
      <c r="G58" s="3" t="s">
        <v>15</v>
      </c>
      <c r="H58" s="5" t="n">
        <v>1</v>
      </c>
      <c r="I58" s="4" t="s">
        <v>16</v>
      </c>
      <c r="J58" s="6" t="s">
        <v>143</v>
      </c>
    </row>
    <row r="59" customFormat="false" ht="15" hidden="false" customHeight="false" outlineLevel="0" collapsed="false">
      <c r="A59" s="3" t="n">
        <v>1</v>
      </c>
      <c r="B59" s="4" t="s">
        <v>137</v>
      </c>
      <c r="C59" s="4" t="s">
        <v>144</v>
      </c>
      <c r="D59" s="4" t="s">
        <v>83</v>
      </c>
      <c r="E59" s="3" t="n">
        <v>3</v>
      </c>
      <c r="F59" s="3" t="s">
        <v>84</v>
      </c>
      <c r="G59" s="3" t="s">
        <v>15</v>
      </c>
      <c r="H59" s="5" t="n">
        <v>1</v>
      </c>
      <c r="I59" s="4" t="s">
        <v>16</v>
      </c>
      <c r="J59" s="6" t="s">
        <v>145</v>
      </c>
    </row>
    <row r="60" customFormat="false" ht="15" hidden="false" customHeight="false" outlineLevel="0" collapsed="false">
      <c r="A60" s="3" t="n">
        <v>1</v>
      </c>
      <c r="B60" s="4" t="s">
        <v>137</v>
      </c>
      <c r="C60" s="4" t="s">
        <v>146</v>
      </c>
      <c r="D60" s="4" t="s">
        <v>120</v>
      </c>
      <c r="E60" s="3" t="n">
        <v>3</v>
      </c>
      <c r="F60" s="3" t="s">
        <v>14</v>
      </c>
      <c r="G60" s="3" t="s">
        <v>15</v>
      </c>
      <c r="H60" s="5" t="n">
        <v>20</v>
      </c>
      <c r="I60" s="4" t="s">
        <v>16</v>
      </c>
      <c r="J60" s="6" t="s">
        <v>147</v>
      </c>
    </row>
    <row r="61" customFormat="false" ht="15" hidden="false" customHeight="false" outlineLevel="0" collapsed="false">
      <c r="A61" s="3" t="n">
        <v>1</v>
      </c>
      <c r="B61" s="4" t="s">
        <v>137</v>
      </c>
      <c r="C61" s="4" t="s">
        <v>148</v>
      </c>
      <c r="D61" s="4" t="s">
        <v>120</v>
      </c>
      <c r="E61" s="3" t="n">
        <v>3</v>
      </c>
      <c r="F61" s="3" t="s">
        <v>14</v>
      </c>
      <c r="G61" s="3" t="s">
        <v>22</v>
      </c>
      <c r="H61" s="5" t="n">
        <v>12</v>
      </c>
      <c r="I61" s="4" t="s">
        <v>16</v>
      </c>
      <c r="J61" s="6" t="s">
        <v>149</v>
      </c>
    </row>
    <row r="62" customFormat="false" ht="15" hidden="false" customHeight="false" outlineLevel="0" collapsed="false">
      <c r="A62" s="3" t="n">
        <v>1</v>
      </c>
      <c r="B62" s="4" t="s">
        <v>150</v>
      </c>
      <c r="C62" s="4" t="s">
        <v>151</v>
      </c>
      <c r="D62" s="4" t="s">
        <v>102</v>
      </c>
      <c r="E62" s="3" t="n">
        <v>3</v>
      </c>
      <c r="F62" s="3" t="s">
        <v>14</v>
      </c>
      <c r="G62" s="3" t="s">
        <v>22</v>
      </c>
      <c r="H62" s="5" t="n">
        <v>1</v>
      </c>
      <c r="I62" s="4" t="s">
        <v>16</v>
      </c>
      <c r="J62" s="6" t="s">
        <v>152</v>
      </c>
    </row>
    <row r="63" customFormat="false" ht="15" hidden="false" customHeight="false" outlineLevel="0" collapsed="false">
      <c r="A63" s="3" t="n">
        <v>1</v>
      </c>
      <c r="B63" s="4" t="s">
        <v>150</v>
      </c>
      <c r="C63" s="4" t="s">
        <v>153</v>
      </c>
      <c r="D63" s="4" t="s">
        <v>125</v>
      </c>
      <c r="E63" s="3" t="n">
        <v>4</v>
      </c>
      <c r="F63" s="3" t="s">
        <v>14</v>
      </c>
      <c r="G63" s="3" t="s">
        <v>22</v>
      </c>
      <c r="H63" s="5" t="n">
        <v>0.5</v>
      </c>
      <c r="I63" s="4" t="s">
        <v>16</v>
      </c>
      <c r="J63" s="6" t="s">
        <v>154</v>
      </c>
    </row>
    <row r="64" customFormat="false" ht="15" hidden="false" customHeight="false" outlineLevel="0" collapsed="false">
      <c r="A64" s="3" t="n">
        <v>1</v>
      </c>
      <c r="B64" s="4" t="s">
        <v>150</v>
      </c>
      <c r="C64" s="4" t="s">
        <v>155</v>
      </c>
      <c r="D64" s="4" t="s">
        <v>13</v>
      </c>
      <c r="E64" s="3" t="n">
        <v>5</v>
      </c>
      <c r="F64" s="3" t="s">
        <v>14</v>
      </c>
      <c r="G64" s="3" t="s">
        <v>15</v>
      </c>
      <c r="H64" s="5" t="n">
        <v>3</v>
      </c>
      <c r="I64" s="4" t="s">
        <v>16</v>
      </c>
      <c r="J64" s="6" t="s">
        <v>156</v>
      </c>
    </row>
    <row r="65" customFormat="false" ht="28.35" hidden="false" customHeight="false" outlineLevel="0" collapsed="false">
      <c r="A65" s="3" t="n">
        <v>1</v>
      </c>
      <c r="B65" s="4" t="s">
        <v>157</v>
      </c>
      <c r="C65" s="4" t="s">
        <v>158</v>
      </c>
      <c r="D65" s="4" t="s">
        <v>83</v>
      </c>
      <c r="E65" s="3" t="n">
        <v>2</v>
      </c>
      <c r="F65" s="3" t="s">
        <v>84</v>
      </c>
      <c r="G65" s="3" t="s">
        <v>15</v>
      </c>
      <c r="H65" s="5" t="n">
        <v>4</v>
      </c>
      <c r="I65" s="4" t="s">
        <v>16</v>
      </c>
      <c r="J65" s="6" t="s">
        <v>159</v>
      </c>
    </row>
    <row r="66" customFormat="false" ht="28.35" hidden="false" customHeight="false" outlineLevel="0" collapsed="false">
      <c r="A66" s="3" t="n">
        <v>1</v>
      </c>
      <c r="B66" s="4" t="s">
        <v>157</v>
      </c>
      <c r="C66" s="4" t="s">
        <v>160</v>
      </c>
      <c r="D66" s="4" t="s">
        <v>83</v>
      </c>
      <c r="E66" s="3" t="n">
        <v>2</v>
      </c>
      <c r="F66" s="3" t="s">
        <v>84</v>
      </c>
      <c r="G66" s="3" t="s">
        <v>22</v>
      </c>
      <c r="H66" s="5" t="n">
        <v>12</v>
      </c>
      <c r="I66" s="4" t="s">
        <v>16</v>
      </c>
      <c r="J66" s="6" t="s">
        <v>161</v>
      </c>
    </row>
    <row r="67" customFormat="false" ht="28.35" hidden="false" customHeight="false" outlineLevel="0" collapsed="false">
      <c r="A67" s="3" t="n">
        <v>1</v>
      </c>
      <c r="B67" s="4" t="s">
        <v>162</v>
      </c>
      <c r="C67" s="4" t="s">
        <v>163</v>
      </c>
      <c r="D67" s="4" t="s">
        <v>164</v>
      </c>
      <c r="E67" s="3" t="n">
        <v>0</v>
      </c>
      <c r="F67" s="3" t="s">
        <v>84</v>
      </c>
      <c r="G67" s="3" t="s">
        <v>15</v>
      </c>
      <c r="H67" s="5" t="n">
        <v>60</v>
      </c>
      <c r="I67" s="4" t="s">
        <v>16</v>
      </c>
      <c r="J67" s="6" t="s">
        <v>165</v>
      </c>
    </row>
    <row r="68" customFormat="false" ht="15" hidden="false" customHeight="false" outlineLevel="0" collapsed="false">
      <c r="A68" s="3" t="n">
        <v>1</v>
      </c>
      <c r="B68" s="4" t="s">
        <v>162</v>
      </c>
      <c r="C68" s="4" t="s">
        <v>166</v>
      </c>
      <c r="D68" s="4" t="s">
        <v>164</v>
      </c>
      <c r="E68" s="3" t="n">
        <v>0</v>
      </c>
      <c r="F68" s="3" t="s">
        <v>84</v>
      </c>
      <c r="G68" s="3" t="s">
        <v>15</v>
      </c>
      <c r="H68" s="5" t="n">
        <v>1</v>
      </c>
      <c r="I68" s="4" t="s">
        <v>16</v>
      </c>
      <c r="J68" s="6" t="s">
        <v>167</v>
      </c>
    </row>
    <row r="69" customFormat="false" ht="15" hidden="false" customHeight="false" outlineLevel="0" collapsed="false">
      <c r="A69" s="3" t="n">
        <v>1</v>
      </c>
      <c r="B69" s="4" t="s">
        <v>162</v>
      </c>
      <c r="C69" s="4" t="s">
        <v>168</v>
      </c>
      <c r="D69" s="4" t="s">
        <v>164</v>
      </c>
      <c r="E69" s="3" t="n">
        <v>0</v>
      </c>
      <c r="F69" s="3" t="s">
        <v>84</v>
      </c>
      <c r="G69" s="3" t="s">
        <v>22</v>
      </c>
      <c r="H69" s="5" t="n">
        <v>1</v>
      </c>
      <c r="I69" s="4" t="s">
        <v>16</v>
      </c>
      <c r="J69" s="6" t="s">
        <v>169</v>
      </c>
    </row>
    <row r="70" customFormat="false" ht="15" hidden="false" customHeight="false" outlineLevel="0" collapsed="false">
      <c r="A70" s="3" t="n">
        <v>1</v>
      </c>
      <c r="B70" s="4" t="s">
        <v>162</v>
      </c>
      <c r="C70" s="4" t="s">
        <v>170</v>
      </c>
      <c r="D70" s="4" t="s">
        <v>164</v>
      </c>
      <c r="E70" s="3" t="n">
        <v>0</v>
      </c>
      <c r="F70" s="3" t="s">
        <v>84</v>
      </c>
      <c r="G70" s="3" t="s">
        <v>22</v>
      </c>
      <c r="H70" s="5" t="n">
        <v>2</v>
      </c>
      <c r="I70" s="4" t="s">
        <v>16</v>
      </c>
      <c r="J70" s="6" t="s">
        <v>171</v>
      </c>
    </row>
    <row r="71" customFormat="false" ht="15" hidden="false" customHeight="false" outlineLevel="0" collapsed="false">
      <c r="A71" s="3" t="n">
        <v>1</v>
      </c>
      <c r="B71" s="4" t="s">
        <v>162</v>
      </c>
      <c r="C71" s="4" t="s">
        <v>172</v>
      </c>
      <c r="D71" s="4" t="s">
        <v>164</v>
      </c>
      <c r="E71" s="3" t="n">
        <v>0</v>
      </c>
      <c r="F71" s="3" t="s">
        <v>84</v>
      </c>
      <c r="G71" s="3" t="s">
        <v>22</v>
      </c>
      <c r="H71" s="5" t="n">
        <v>8</v>
      </c>
      <c r="I71" s="4" t="s">
        <v>16</v>
      </c>
      <c r="J71" s="6" t="s">
        <v>173</v>
      </c>
    </row>
    <row r="72" customFormat="false" ht="15" hidden="false" customHeight="false" outlineLevel="0" collapsed="false">
      <c r="A72" s="3" t="n">
        <v>1</v>
      </c>
      <c r="B72" s="4" t="s">
        <v>162</v>
      </c>
      <c r="C72" s="4" t="s">
        <v>174</v>
      </c>
      <c r="D72" s="4" t="s">
        <v>164</v>
      </c>
      <c r="E72" s="3" t="n">
        <v>0</v>
      </c>
      <c r="F72" s="3" t="s">
        <v>84</v>
      </c>
      <c r="G72" s="3" t="s">
        <v>22</v>
      </c>
      <c r="H72" s="5" t="n">
        <v>12</v>
      </c>
      <c r="I72" s="4" t="s">
        <v>16</v>
      </c>
      <c r="J72" s="6" t="s">
        <v>173</v>
      </c>
    </row>
    <row r="73" customFormat="false" ht="15" hidden="false" customHeight="false" outlineLevel="0" collapsed="false">
      <c r="A73" s="3" t="n">
        <v>1</v>
      </c>
      <c r="B73" s="4" t="s">
        <v>162</v>
      </c>
      <c r="C73" s="4" t="s">
        <v>175</v>
      </c>
      <c r="D73" s="4" t="s">
        <v>164</v>
      </c>
      <c r="E73" s="3" t="n">
        <v>0</v>
      </c>
      <c r="F73" s="3" t="s">
        <v>84</v>
      </c>
      <c r="G73" s="3" t="s">
        <v>22</v>
      </c>
      <c r="H73" s="5" t="n">
        <v>3</v>
      </c>
      <c r="I73" s="4" t="s">
        <v>16</v>
      </c>
      <c r="J73" s="6" t="s">
        <v>176</v>
      </c>
    </row>
    <row r="74" customFormat="false" ht="15" hidden="false" customHeight="false" outlineLevel="0" collapsed="false">
      <c r="A74" s="3" t="n">
        <v>1</v>
      </c>
      <c r="B74" s="4" t="s">
        <v>162</v>
      </c>
      <c r="C74" s="4" t="s">
        <v>177</v>
      </c>
      <c r="D74" s="4" t="s">
        <v>164</v>
      </c>
      <c r="E74" s="3" t="n">
        <v>0</v>
      </c>
      <c r="F74" s="3" t="s">
        <v>84</v>
      </c>
      <c r="G74" s="3" t="s">
        <v>22</v>
      </c>
      <c r="H74" s="5" t="n">
        <v>1</v>
      </c>
      <c r="I74" s="4" t="s">
        <v>16</v>
      </c>
      <c r="J74" s="6" t="s">
        <v>178</v>
      </c>
    </row>
    <row r="75" customFormat="false" ht="15" hidden="false" customHeight="false" outlineLevel="0" collapsed="false">
      <c r="A75" s="3" t="n">
        <v>1</v>
      </c>
      <c r="B75" s="4" t="s">
        <v>162</v>
      </c>
      <c r="C75" s="4" t="s">
        <v>179</v>
      </c>
      <c r="D75" s="4" t="s">
        <v>164</v>
      </c>
      <c r="E75" s="3" t="n">
        <v>0</v>
      </c>
      <c r="F75" s="3" t="s">
        <v>84</v>
      </c>
      <c r="G75" s="3" t="s">
        <v>22</v>
      </c>
      <c r="H75" s="5" t="n">
        <v>8</v>
      </c>
      <c r="I75" s="4" t="s">
        <v>16</v>
      </c>
      <c r="J75" s="6" t="s">
        <v>180</v>
      </c>
    </row>
    <row r="76" customFormat="false" ht="15" hidden="false" customHeight="false" outlineLevel="0" collapsed="false">
      <c r="A76" s="3" t="n">
        <v>1</v>
      </c>
      <c r="B76" s="4" t="s">
        <v>162</v>
      </c>
      <c r="C76" s="4" t="s">
        <v>181</v>
      </c>
      <c r="D76" s="4" t="s">
        <v>164</v>
      </c>
      <c r="E76" s="3" t="n">
        <v>0</v>
      </c>
      <c r="F76" s="3" t="s">
        <v>84</v>
      </c>
      <c r="G76" s="3" t="s">
        <v>22</v>
      </c>
      <c r="H76" s="5" t="n">
        <v>0.5</v>
      </c>
      <c r="I76" s="4" t="s">
        <v>16</v>
      </c>
      <c r="J76" s="6" t="s">
        <v>182</v>
      </c>
    </row>
    <row r="77" customFormat="false" ht="15" hidden="false" customHeight="false" outlineLevel="0" collapsed="false">
      <c r="A77" s="3" t="n">
        <v>1</v>
      </c>
      <c r="B77" s="4" t="s">
        <v>162</v>
      </c>
      <c r="C77" s="4" t="s">
        <v>183</v>
      </c>
      <c r="D77" s="4" t="s">
        <v>164</v>
      </c>
      <c r="E77" s="3" t="n">
        <v>0</v>
      </c>
      <c r="F77" s="3" t="s">
        <v>84</v>
      </c>
      <c r="G77" s="3" t="s">
        <v>15</v>
      </c>
      <c r="H77" s="5" t="n">
        <v>0.5</v>
      </c>
      <c r="I77" s="4" t="s">
        <v>16</v>
      </c>
      <c r="J77" s="6" t="s">
        <v>184</v>
      </c>
    </row>
    <row r="78" customFormat="false" ht="15" hidden="false" customHeight="false" outlineLevel="0" collapsed="false">
      <c r="A78" s="3" t="n">
        <v>1</v>
      </c>
      <c r="B78" s="4" t="s">
        <v>162</v>
      </c>
      <c r="C78" s="4" t="s">
        <v>185</v>
      </c>
      <c r="D78" s="4" t="s">
        <v>164</v>
      </c>
      <c r="E78" s="3" t="n">
        <v>0</v>
      </c>
      <c r="F78" s="3" t="s">
        <v>84</v>
      </c>
      <c r="G78" s="3" t="s">
        <v>22</v>
      </c>
      <c r="H78" s="5" t="n">
        <v>1</v>
      </c>
      <c r="I78" s="4" t="s">
        <v>16</v>
      </c>
      <c r="J78" s="6" t="s">
        <v>186</v>
      </c>
    </row>
    <row r="79" customFormat="false" ht="15" hidden="false" customHeight="false" outlineLevel="0" collapsed="false">
      <c r="A79" s="3" t="n">
        <v>1</v>
      </c>
      <c r="B79" s="4" t="s">
        <v>162</v>
      </c>
      <c r="C79" s="4" t="s">
        <v>187</v>
      </c>
      <c r="D79" s="4" t="s">
        <v>164</v>
      </c>
      <c r="E79" s="3" t="n">
        <v>0</v>
      </c>
      <c r="F79" s="3" t="s">
        <v>84</v>
      </c>
      <c r="G79" s="3" t="s">
        <v>15</v>
      </c>
      <c r="H79" s="5" t="n">
        <v>25</v>
      </c>
      <c r="I79" s="4" t="s">
        <v>85</v>
      </c>
      <c r="J79" s="6" t="s">
        <v>188</v>
      </c>
    </row>
    <row r="80" customFormat="false" ht="15" hidden="false" customHeight="false" outlineLevel="0" collapsed="false">
      <c r="A80" s="3" t="n">
        <v>1</v>
      </c>
      <c r="B80" s="4" t="s">
        <v>162</v>
      </c>
      <c r="C80" s="4" t="s">
        <v>189</v>
      </c>
      <c r="D80" s="4" t="s">
        <v>164</v>
      </c>
      <c r="E80" s="3" t="n">
        <v>0</v>
      </c>
      <c r="F80" s="3" t="s">
        <v>84</v>
      </c>
      <c r="G80" s="3" t="s">
        <v>22</v>
      </c>
      <c r="H80" s="5" t="n">
        <v>6</v>
      </c>
      <c r="I80" s="4" t="s">
        <v>85</v>
      </c>
      <c r="J80" s="6" t="s">
        <v>190</v>
      </c>
    </row>
    <row r="81" customFormat="false" ht="15" hidden="false" customHeight="false" outlineLevel="0" collapsed="false">
      <c r="A81" s="3" t="n">
        <v>1</v>
      </c>
      <c r="B81" s="4" t="s">
        <v>162</v>
      </c>
      <c r="C81" s="4" t="s">
        <v>191</v>
      </c>
      <c r="D81" s="4" t="s">
        <v>164</v>
      </c>
      <c r="E81" s="3" t="n">
        <v>0</v>
      </c>
      <c r="F81" s="3" t="s">
        <v>84</v>
      </c>
      <c r="G81" s="3" t="s">
        <v>22</v>
      </c>
      <c r="H81" s="5" t="n">
        <v>0.25</v>
      </c>
      <c r="I81" s="4" t="s">
        <v>16</v>
      </c>
      <c r="J81" s="6" t="s">
        <v>190</v>
      </c>
    </row>
    <row r="82" customFormat="false" ht="15" hidden="false" customHeight="false" outlineLevel="0" collapsed="false">
      <c r="A82" s="3" t="n">
        <v>1</v>
      </c>
      <c r="B82" s="4" t="s">
        <v>162</v>
      </c>
      <c r="C82" s="4" t="s">
        <v>192</v>
      </c>
      <c r="D82" s="4" t="s">
        <v>164</v>
      </c>
      <c r="E82" s="3" t="n">
        <v>0</v>
      </c>
      <c r="F82" s="3" t="s">
        <v>84</v>
      </c>
      <c r="G82" s="3" t="s">
        <v>22</v>
      </c>
      <c r="H82" s="5" t="n">
        <v>0.25</v>
      </c>
      <c r="I82" s="4" t="s">
        <v>16</v>
      </c>
      <c r="J82" s="6" t="s">
        <v>190</v>
      </c>
    </row>
    <row r="83" customFormat="false" ht="15" hidden="false" customHeight="false" outlineLevel="0" collapsed="false">
      <c r="A83" s="3" t="n">
        <v>1</v>
      </c>
      <c r="B83" s="4" t="s">
        <v>162</v>
      </c>
      <c r="C83" s="4" t="s">
        <v>193</v>
      </c>
      <c r="D83" s="4" t="s">
        <v>164</v>
      </c>
      <c r="E83" s="3" t="n">
        <v>0</v>
      </c>
      <c r="F83" s="3" t="s">
        <v>84</v>
      </c>
      <c r="G83" s="3" t="s">
        <v>22</v>
      </c>
      <c r="H83" s="5" t="n">
        <v>18</v>
      </c>
      <c r="I83" s="4" t="s">
        <v>85</v>
      </c>
      <c r="J83" s="6" t="s">
        <v>194</v>
      </c>
    </row>
    <row r="84" customFormat="false" ht="15" hidden="false" customHeight="false" outlineLevel="0" collapsed="false">
      <c r="A84" s="3" t="n">
        <v>1</v>
      </c>
      <c r="B84" s="4" t="s">
        <v>162</v>
      </c>
      <c r="C84" s="4" t="s">
        <v>195</v>
      </c>
      <c r="D84" s="4" t="s">
        <v>164</v>
      </c>
      <c r="E84" s="3" t="n">
        <v>0</v>
      </c>
      <c r="F84" s="3" t="s">
        <v>84</v>
      </c>
      <c r="G84" s="3" t="s">
        <v>22</v>
      </c>
      <c r="H84" s="5" t="n">
        <v>20</v>
      </c>
      <c r="I84" s="4" t="s">
        <v>16</v>
      </c>
      <c r="J84" s="6" t="s">
        <v>196</v>
      </c>
    </row>
    <row r="85" customFormat="false" ht="15" hidden="false" customHeight="false" outlineLevel="0" collapsed="false">
      <c r="A85" s="3" t="n">
        <v>1</v>
      </c>
      <c r="B85" s="4" t="s">
        <v>162</v>
      </c>
      <c r="C85" s="4" t="s">
        <v>197</v>
      </c>
      <c r="D85" s="4" t="s">
        <v>164</v>
      </c>
      <c r="E85" s="3" t="n">
        <v>0</v>
      </c>
      <c r="F85" s="3" t="s">
        <v>84</v>
      </c>
      <c r="G85" s="3" t="s">
        <v>22</v>
      </c>
      <c r="H85" s="5" t="n">
        <v>15</v>
      </c>
      <c r="I85" s="4" t="s">
        <v>16</v>
      </c>
      <c r="J85" s="6" t="s">
        <v>198</v>
      </c>
    </row>
    <row r="86" customFormat="false" ht="15" hidden="false" customHeight="false" outlineLevel="0" collapsed="false">
      <c r="A86" s="3" t="n">
        <v>1</v>
      </c>
      <c r="B86" s="4" t="s">
        <v>162</v>
      </c>
      <c r="C86" s="4" t="s">
        <v>199</v>
      </c>
      <c r="D86" s="4" t="s">
        <v>164</v>
      </c>
      <c r="E86" s="3" t="n">
        <v>0</v>
      </c>
      <c r="F86" s="3" t="s">
        <v>84</v>
      </c>
      <c r="G86" s="3" t="s">
        <v>22</v>
      </c>
      <c r="H86" s="5" t="n">
        <v>15</v>
      </c>
      <c r="I86" s="4" t="s">
        <v>16</v>
      </c>
      <c r="J86" s="6" t="s">
        <v>200</v>
      </c>
    </row>
    <row r="87" customFormat="false" ht="15" hidden="false" customHeight="false" outlineLevel="0" collapsed="false">
      <c r="A87" s="3" t="n">
        <v>11</v>
      </c>
      <c r="B87" s="4" t="s">
        <v>162</v>
      </c>
      <c r="C87" s="4" t="s">
        <v>201</v>
      </c>
      <c r="D87" s="4" t="s">
        <v>164</v>
      </c>
      <c r="E87" s="3" t="n">
        <v>0</v>
      </c>
      <c r="F87" s="3" t="s">
        <v>14</v>
      </c>
      <c r="G87" s="3" t="s">
        <v>22</v>
      </c>
      <c r="H87" s="5" t="n">
        <v>0.1</v>
      </c>
      <c r="I87" s="4" t="s">
        <v>202</v>
      </c>
      <c r="J87" s="6" t="s">
        <v>203</v>
      </c>
    </row>
    <row r="88" customFormat="false" ht="15" hidden="false" customHeight="false" outlineLevel="0" collapsed="false">
      <c r="A88" s="3" t="n">
        <v>2</v>
      </c>
      <c r="B88" s="4" t="s">
        <v>162</v>
      </c>
      <c r="C88" s="4" t="s">
        <v>204</v>
      </c>
      <c r="D88" s="4" t="s">
        <v>164</v>
      </c>
      <c r="E88" s="3" t="n">
        <v>0</v>
      </c>
      <c r="F88" s="3" t="s">
        <v>205</v>
      </c>
      <c r="G88" s="3" t="s">
        <v>22</v>
      </c>
      <c r="H88" s="5" t="n">
        <v>0.1</v>
      </c>
      <c r="I88" s="4" t="s">
        <v>202</v>
      </c>
      <c r="J88" s="6" t="s">
        <v>206</v>
      </c>
    </row>
    <row r="89" customFormat="false" ht="15" hidden="false" customHeight="false" outlineLevel="0" collapsed="false">
      <c r="A89" s="3" t="n">
        <v>2</v>
      </c>
      <c r="B89" s="4" t="s">
        <v>162</v>
      </c>
      <c r="C89" s="4" t="s">
        <v>207</v>
      </c>
      <c r="D89" s="4" t="s">
        <v>164</v>
      </c>
      <c r="E89" s="3" t="n">
        <v>0</v>
      </c>
      <c r="F89" s="3" t="s">
        <v>36</v>
      </c>
      <c r="G89" s="3" t="s">
        <v>22</v>
      </c>
      <c r="H89" s="5" t="n">
        <v>0.1</v>
      </c>
      <c r="I89" s="4" t="s">
        <v>16</v>
      </c>
      <c r="J89" s="6" t="s">
        <v>208</v>
      </c>
    </row>
    <row r="90" customFormat="false" ht="15" hidden="false" customHeight="false" outlineLevel="0" collapsed="false">
      <c r="A90" s="3" t="n">
        <v>1</v>
      </c>
      <c r="B90" s="4" t="s">
        <v>162</v>
      </c>
      <c r="C90" s="4" t="s">
        <v>209</v>
      </c>
      <c r="D90" s="4" t="s">
        <v>164</v>
      </c>
      <c r="E90" s="3" t="n">
        <v>0</v>
      </c>
      <c r="F90" s="3" t="s">
        <v>210</v>
      </c>
      <c r="G90" s="3" t="s">
        <v>22</v>
      </c>
      <c r="H90" s="5" t="n">
        <v>0.1</v>
      </c>
      <c r="I90" s="4" t="s">
        <v>16</v>
      </c>
      <c r="J90" s="6" t="s">
        <v>211</v>
      </c>
    </row>
    <row r="91" customFormat="false" ht="28.35" hidden="false" customHeight="false" outlineLevel="0" collapsed="false">
      <c r="A91" s="3" t="n">
        <v>1</v>
      </c>
      <c r="B91" s="4" t="s">
        <v>162</v>
      </c>
      <c r="C91" s="4" t="s">
        <v>212</v>
      </c>
      <c r="D91" s="4" t="s">
        <v>164</v>
      </c>
      <c r="E91" s="3" t="n">
        <v>0</v>
      </c>
      <c r="F91" s="3" t="s">
        <v>213</v>
      </c>
      <c r="G91" s="3" t="s">
        <v>22</v>
      </c>
      <c r="H91" s="5" t="n">
        <v>0.1</v>
      </c>
      <c r="I91" s="4" t="s">
        <v>16</v>
      </c>
      <c r="J91" s="6" t="s">
        <v>214</v>
      </c>
    </row>
  </sheetData>
  <autoFilter ref="A3:J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5"/>
    <col collapsed="false" customWidth="true" hidden="false" outlineLevel="0" max="3" min="3" style="0" width="14"/>
  </cols>
  <sheetData>
    <row r="2" customFormat="false" ht="22.05" hidden="false" customHeight="false" outlineLevel="0" collapsed="false">
      <c r="B2" s="1" t="s">
        <v>12</v>
      </c>
    </row>
    <row r="3" customFormat="false" ht="15" hidden="false" customHeight="false" outlineLevel="0" collapsed="false">
      <c r="B3" s="7" t="s">
        <v>215</v>
      </c>
    </row>
    <row r="5" customFormat="false" ht="17.35" hidden="false" customHeight="false" outlineLevel="0" collapsed="false">
      <c r="B5" s="8" t="s">
        <v>216</v>
      </c>
    </row>
    <row r="6" customFormat="false" ht="15" hidden="false" customHeight="false" outlineLevel="0" collapsed="false">
      <c r="B6" s="9" t="s">
        <v>217</v>
      </c>
      <c r="C6" s="9" t="s">
        <v>218</v>
      </c>
    </row>
    <row r="7" customFormat="false" ht="15" hidden="false" customHeight="false" outlineLevel="0" collapsed="false">
      <c r="B7" s="10" t="s">
        <v>219</v>
      </c>
      <c r="C7" s="11" t="n">
        <f aca="false">SUM(Decklist!A4:A91)</f>
        <v>100</v>
      </c>
    </row>
    <row r="8" customFormat="false" ht="15" hidden="false" customHeight="false" outlineLevel="0" collapsed="false">
      <c r="B8" s="10" t="s">
        <v>220</v>
      </c>
      <c r="C8" s="12" t="n">
        <f aca="false">SUMPRODUCT(Decklist!A4:A91,Decklist!H4:H91)</f>
        <v>529.7</v>
      </c>
    </row>
    <row r="9" customFormat="false" ht="15" hidden="false" customHeight="false" outlineLevel="0" collapsed="false">
      <c r="B9" s="10" t="s">
        <v>221</v>
      </c>
      <c r="C9" s="13" t="n">
        <v>1.4203</v>
      </c>
    </row>
    <row r="10" customFormat="false" ht="15" hidden="false" customHeight="false" outlineLevel="0" collapsed="false">
      <c r="B10" s="10" t="s">
        <v>222</v>
      </c>
      <c r="C10" s="12" t="n">
        <f aca="false">C8*$C$9</f>
        <v>752.33291</v>
      </c>
    </row>
    <row r="11" customFormat="false" ht="15" hidden="false" customHeight="false" outlineLevel="0" collapsed="false">
      <c r="B11" s="10" t="s">
        <v>223</v>
      </c>
      <c r="C11" s="11" t="n">
        <f aca="false">MAX(Decklist!E4:E91)</f>
        <v>8</v>
      </c>
    </row>
    <row r="12" customFormat="false" ht="15" hidden="false" customHeight="false" outlineLevel="0" collapsed="false">
      <c r="B12" s="10" t="s">
        <v>224</v>
      </c>
      <c r="C12" s="14" t="n">
        <f aca="false">AVERAGEIF(Decklist!B4:B91,"&lt;&gt;Lands",Decklist!E4:E91)</f>
        <v>4.03174603174603</v>
      </c>
    </row>
    <row r="13" customFormat="false" ht="15" hidden="false" customHeight="false" outlineLevel="0" collapsed="false">
      <c r="B13" s="10" t="s">
        <v>225</v>
      </c>
      <c r="C13" s="11" t="n">
        <f aca="false">SUMIF(Decklist!B4:B91,"Angels",Decklist!A4:A91)</f>
        <v>28</v>
      </c>
    </row>
    <row r="14" customFormat="false" ht="15" hidden="false" customHeight="false" outlineLevel="0" collapsed="false">
      <c r="B14" s="10" t="s">
        <v>226</v>
      </c>
      <c r="C14" s="11" t="n">
        <f aca="false">SUMIFS(Decklist!A4:A91,Decklist!B4:B91,"Angels",Decklist!F4:F91,"&lt;&gt;W")</f>
        <v>8</v>
      </c>
    </row>
    <row r="15" customFormat="false" ht="15" hidden="false" customHeight="false" outlineLevel="0" collapsed="false">
      <c r="B15" s="10" t="s">
        <v>227</v>
      </c>
      <c r="C15" s="11" t="n">
        <f aca="false">SUMIF(Decklist!B4:B91,"Lands",Decklist!A4:A91)</f>
        <v>37</v>
      </c>
    </row>
    <row r="16" customFormat="false" ht="15" hidden="false" customHeight="false" outlineLevel="0" collapsed="false">
      <c r="B16" s="10" t="s">
        <v>228</v>
      </c>
      <c r="C16" s="11" t="n">
        <f aca="false">SUMIFS(Decklist!A4:A91,Decklist!B4:B91,"Lands",Decklist!J4:J91,"Basic*")</f>
        <v>17</v>
      </c>
    </row>
    <row r="17" customFormat="false" ht="15" hidden="false" customHeight="false" outlineLevel="0" collapsed="false">
      <c r="B17" s="10" t="s">
        <v>229</v>
      </c>
      <c r="C17" s="15" t="n">
        <v>13</v>
      </c>
    </row>
    <row r="18" customFormat="false" ht="15" hidden="false" customHeight="false" outlineLevel="0" collapsed="false">
      <c r="B18" s="16" t="s">
        <v>230</v>
      </c>
    </row>
    <row r="21" customFormat="false" ht="17.35" hidden="false" customHeight="false" outlineLevel="0" collapsed="false">
      <c r="B21" s="8" t="s">
        <v>231</v>
      </c>
    </row>
    <row r="22" customFormat="false" ht="15" hidden="false" customHeight="false" outlineLevel="0" collapsed="false">
      <c r="B22" s="9" t="s">
        <v>5</v>
      </c>
      <c r="C22" s="9" t="s">
        <v>232</v>
      </c>
    </row>
    <row r="23" customFormat="false" ht="15" hidden="false" customHeight="false" outlineLevel="0" collapsed="false">
      <c r="B23" s="11" t="n">
        <v>1</v>
      </c>
      <c r="C23" s="11" t="n">
        <f aca="false">SUMIFS(Decklist!A4:A91,Decklist!E4:E91,B23,Decklist!B4:B91,"&lt;&gt;Lands")</f>
        <v>6</v>
      </c>
    </row>
    <row r="24" customFormat="false" ht="15" hidden="false" customHeight="false" outlineLevel="0" collapsed="false">
      <c r="B24" s="11" t="n">
        <v>2</v>
      </c>
      <c r="C24" s="11" t="n">
        <f aca="false">SUMIFS(Decklist!A4:A91,Decklist!E4:E91,B24,Decklist!B4:B91,"&lt;&gt;Lands")</f>
        <v>7</v>
      </c>
    </row>
    <row r="25" customFormat="false" ht="15" hidden="false" customHeight="false" outlineLevel="0" collapsed="false">
      <c r="B25" s="11" t="n">
        <v>3</v>
      </c>
      <c r="C25" s="11" t="n">
        <f aca="false">SUMIFS(Decklist!A4:A91,Decklist!E4:E91,B25,Decklist!B4:B91,"&lt;&gt;Lands")</f>
        <v>14</v>
      </c>
    </row>
    <row r="26" customFormat="false" ht="15" hidden="false" customHeight="false" outlineLevel="0" collapsed="false">
      <c r="B26" s="11" t="n">
        <v>4</v>
      </c>
      <c r="C26" s="11" t="n">
        <f aca="false">SUMIFS(Decklist!A4:A91,Decklist!E4:E91,B26,Decklist!B4:B91,"&lt;&gt;Lands")</f>
        <v>11</v>
      </c>
    </row>
    <row r="27" customFormat="false" ht="15" hidden="false" customHeight="false" outlineLevel="0" collapsed="false">
      <c r="B27" s="11" t="n">
        <v>5</v>
      </c>
      <c r="C27" s="11" t="n">
        <f aca="false">SUMIFS(Decklist!A4:A91,Decklist!E4:E91,B27,Decklist!B4:B91,"&lt;&gt;Lands")</f>
        <v>11</v>
      </c>
    </row>
    <row r="28" customFormat="false" ht="15" hidden="false" customHeight="false" outlineLevel="0" collapsed="false">
      <c r="B28" s="11" t="n">
        <v>6</v>
      </c>
      <c r="C28" s="11" t="n">
        <f aca="false">SUMIFS(Decklist!A4:A91,Decklist!E4:E91,B28,Decklist!B4:B91,"&lt;&gt;Lands")</f>
        <v>6</v>
      </c>
    </row>
    <row r="29" customFormat="false" ht="15" hidden="false" customHeight="false" outlineLevel="0" collapsed="false">
      <c r="B29" s="11" t="n">
        <v>7</v>
      </c>
      <c r="C29" s="11" t="n">
        <f aca="false">SUMIFS(Decklist!A4:A91,Decklist!E4:E91,B29,Decklist!B4:B91,"&lt;&gt;Lands")</f>
        <v>7</v>
      </c>
    </row>
    <row r="30" customFormat="false" ht="15" hidden="false" customHeight="false" outlineLevel="0" collapsed="false">
      <c r="B30" s="11" t="n">
        <v>8</v>
      </c>
      <c r="C30" s="11" t="n">
        <f aca="false">SUMIFS(Decklist!A4:A91,Decklist!E4:E91,B30,Decklist!B4:B91,"&lt;&gt;Lands")</f>
        <v>1</v>
      </c>
    </row>
    <row r="33" customFormat="false" ht="17.35" hidden="false" customHeight="false" outlineLevel="0" collapsed="false">
      <c r="B33" s="8" t="s">
        <v>233</v>
      </c>
    </row>
    <row r="34" customFormat="false" ht="15" hidden="false" customHeight="false" outlineLevel="0" collapsed="false">
      <c r="B34" s="9" t="s">
        <v>2</v>
      </c>
      <c r="C34" s="9" t="s">
        <v>232</v>
      </c>
    </row>
    <row r="35" customFormat="false" ht="15" hidden="false" customHeight="false" outlineLevel="0" collapsed="false">
      <c r="B35" s="11" t="s">
        <v>11</v>
      </c>
      <c r="C35" s="11" t="n">
        <f aca="false">SUMIF(Decklist!B4:B91,B35,Decklist!A4:A91)</f>
        <v>1</v>
      </c>
    </row>
    <row r="36" customFormat="false" ht="15" hidden="false" customHeight="false" outlineLevel="0" collapsed="false">
      <c r="B36" s="11" t="s">
        <v>18</v>
      </c>
      <c r="C36" s="11" t="n">
        <f aca="false">SUMIF(Decklist!B4:B91,B36,Decklist!A4:A91)</f>
        <v>28</v>
      </c>
    </row>
    <row r="37" customFormat="false" ht="15" hidden="false" customHeight="false" outlineLevel="0" collapsed="false">
      <c r="B37" s="11" t="s">
        <v>81</v>
      </c>
      <c r="C37" s="11" t="n">
        <f aca="false">SUMIF(Decklist!B4:B91,B37,Decklist!A4:A91)</f>
        <v>11</v>
      </c>
    </row>
    <row r="38" customFormat="false" ht="15" hidden="false" customHeight="false" outlineLevel="0" collapsed="false">
      <c r="B38" s="11" t="s">
        <v>109</v>
      </c>
      <c r="C38" s="11" t="n">
        <f aca="false">SUMIF(Decklist!B4:B91,B38,Decklist!A4:A91)</f>
        <v>4</v>
      </c>
    </row>
    <row r="39" customFormat="false" ht="15" hidden="false" customHeight="false" outlineLevel="0" collapsed="false">
      <c r="B39" s="11" t="s">
        <v>118</v>
      </c>
      <c r="C39" s="11" t="n">
        <f aca="false">SUMIF(Decklist!B4:B91,B39,Decklist!A4:A91)</f>
        <v>8</v>
      </c>
    </row>
    <row r="40" customFormat="false" ht="15" hidden="false" customHeight="false" outlineLevel="0" collapsed="false">
      <c r="B40" s="11" t="s">
        <v>137</v>
      </c>
      <c r="C40" s="11" t="n">
        <f aca="false">SUMIF(Decklist!B4:B91,B40,Decklist!A4:A91)</f>
        <v>6</v>
      </c>
    </row>
    <row r="41" customFormat="false" ht="15" hidden="false" customHeight="false" outlineLevel="0" collapsed="false">
      <c r="B41" s="11" t="s">
        <v>150</v>
      </c>
      <c r="C41" s="11" t="n">
        <f aca="false">SUMIF(Decklist!B4:B91,B41,Decklist!A4:A91)</f>
        <v>3</v>
      </c>
    </row>
    <row r="42" customFormat="false" ht="15" hidden="false" customHeight="false" outlineLevel="0" collapsed="false">
      <c r="B42" s="11" t="s">
        <v>157</v>
      </c>
      <c r="C42" s="11" t="n">
        <f aca="false">SUMIF(Decklist!B4:B91,B42,Decklist!A4:A91)</f>
        <v>2</v>
      </c>
    </row>
    <row r="43" customFormat="false" ht="15" hidden="false" customHeight="false" outlineLevel="0" collapsed="false">
      <c r="B43" s="11" t="s">
        <v>162</v>
      </c>
      <c r="C43" s="11" t="n">
        <f aca="false">SUMIF(Decklist!B4:B91,B43,Decklist!A4:A91)</f>
        <v>37</v>
      </c>
    </row>
    <row r="44" customFormat="false" ht="15" hidden="false" customHeight="false" outlineLevel="0" collapsed="false">
      <c r="B44" s="10" t="s">
        <v>234</v>
      </c>
      <c r="C44" s="10" t="n">
        <f aca="false">SUM(C35:C43)</f>
        <v>100</v>
      </c>
    </row>
    <row r="47" customFormat="false" ht="17.35" hidden="false" customHeight="false" outlineLevel="0" collapsed="false">
      <c r="B47" s="8" t="s">
        <v>235</v>
      </c>
    </row>
    <row r="48" customFormat="false" ht="15" hidden="false" customHeight="false" outlineLevel="0" collapsed="false">
      <c r="B48" s="9" t="s">
        <v>4</v>
      </c>
      <c r="C48" s="9" t="s">
        <v>232</v>
      </c>
    </row>
    <row r="49" customFormat="false" ht="15" hidden="false" customHeight="false" outlineLevel="0" collapsed="false">
      <c r="B49" s="11" t="s">
        <v>13</v>
      </c>
      <c r="C49" s="11" t="n">
        <f aca="false">SUMIF(Decklist!D4:D91,B49,Decklist!A4:A91)</f>
        <v>35</v>
      </c>
    </row>
    <row r="50" customFormat="false" ht="15" hidden="false" customHeight="false" outlineLevel="0" collapsed="false">
      <c r="B50" s="11" t="s">
        <v>120</v>
      </c>
      <c r="C50" s="11" t="n">
        <f aca="false">SUMIF(Decklist!D4:D91,B50,Decklist!A4:A91)</f>
        <v>6</v>
      </c>
    </row>
    <row r="51" customFormat="false" ht="15" hidden="false" customHeight="false" outlineLevel="0" collapsed="false">
      <c r="B51" s="11" t="s">
        <v>125</v>
      </c>
      <c r="C51" s="11" t="n">
        <f aca="false">SUMIF(Decklist!D4:D91,B51,Decklist!A4:A91)</f>
        <v>5</v>
      </c>
    </row>
    <row r="52" customFormat="false" ht="15" hidden="false" customHeight="false" outlineLevel="0" collapsed="false">
      <c r="B52" s="11" t="s">
        <v>83</v>
      </c>
      <c r="C52" s="11" t="n">
        <f aca="false">SUMIF(Decklist!D4:D91,B52,Decklist!A4:A91)</f>
        <v>15</v>
      </c>
    </row>
    <row r="53" customFormat="false" ht="15" hidden="false" customHeight="false" outlineLevel="0" collapsed="false">
      <c r="B53" s="11" t="s">
        <v>102</v>
      </c>
      <c r="C53" s="11" t="n">
        <f aca="false">SUMIF(Decklist!D4:D91,B53,Decklist!A4:A91)</f>
        <v>2</v>
      </c>
    </row>
    <row r="54" customFormat="false" ht="15" hidden="false" customHeight="false" outlineLevel="0" collapsed="false">
      <c r="B54" s="11" t="s">
        <v>164</v>
      </c>
      <c r="C54" s="11" t="n">
        <f aca="false">SUMIF(Decklist!D4:D91,B54,Decklist!A4:A91)</f>
        <v>37</v>
      </c>
    </row>
    <row r="55" customFormat="false" ht="15" hidden="false" customHeight="false" outlineLevel="0" collapsed="false">
      <c r="B55" s="10" t="s">
        <v>234</v>
      </c>
      <c r="C55" s="10" t="n">
        <f aca="false">SUM(C49:C54)</f>
        <v>100</v>
      </c>
    </row>
    <row r="58" customFormat="false" ht="17.35" hidden="false" customHeight="false" outlineLevel="0" collapsed="false">
      <c r="B58" s="8" t="s">
        <v>236</v>
      </c>
    </row>
    <row r="59" customFormat="false" ht="15" hidden="false" customHeight="false" outlineLevel="0" collapsed="false">
      <c r="B59" s="17" t="s">
        <v>237</v>
      </c>
    </row>
    <row r="60" customFormat="false" ht="15" hidden="false" customHeight="false" outlineLevel="0" collapsed="false">
      <c r="B60" s="17" t="s">
        <v>238</v>
      </c>
    </row>
    <row r="61" customFormat="false" ht="15" hidden="false" customHeight="false" outlineLevel="0" collapsed="false">
      <c r="B61" s="17" t="s">
        <v>239</v>
      </c>
    </row>
    <row r="62" customFormat="false" ht="15" hidden="false" customHeight="false" outlineLevel="0" collapsed="false">
      <c r="B62" s="17" t="s">
        <v>240</v>
      </c>
    </row>
    <row r="63" customFormat="false" ht="15" hidden="false" customHeight="false" outlineLevel="0" collapsed="false">
      <c r="B63" s="17" t="s">
        <v>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2026-08-09T15:32:32Z</dcterms:created>
  <dc:creator>openpyxl</dc:creator>
  <dc:description/>
  <dc:language>en-US</dc:language>
  <cp:lastModifiedBy/>
  <dcterms:modified xsi:type="dcterms:W3CDTF">2026-08-09T15:32:32Z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