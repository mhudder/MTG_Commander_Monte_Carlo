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Decklist" sheetId="2" state="visible" r:id="rId4"/>
  </sheets>
  <definedNames>
    <definedName function="false" hidden="true" localSheetId="1" name="_xlnm._FilterDatabase" vbProcedure="false">Decklist!$A$3:$J$93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<sst xmlns="http://schemas.openxmlformats.org/spreadsheetml/2006/main" count="616" uniqueCount="223">
  <si>
    <t xml:space="preserve">Rendmaw, Creaking Nest</t>
  </si>
  <si>
    <t xml:space="preserve">Commander Deck Dashboard &amp; Analytics — Tokens / Artifacts</t>
  </si>
  <si>
    <t xml:space="preserve">Key Deck Metrics</t>
  </si>
  <si>
    <t xml:space="preserve">Metric</t>
  </si>
  <si>
    <t xml:space="preserve">Value</t>
  </si>
  <si>
    <t xml:space="preserve">Total Cards</t>
  </si>
  <si>
    <t xml:space="preserve">Total Deck Cost (USD)</t>
  </si>
  <si>
    <t xml:space="preserve">Max Mana Value</t>
  </si>
  <si>
    <t xml:space="preserve">Avg Mana Value (Spells)</t>
  </si>
  <si>
    <t xml:space="preserve">Mana Curve</t>
  </si>
  <si>
    <t xml:space="preserve">Mana Value</t>
  </si>
  <si>
    <t xml:space="preserve">Count</t>
  </si>
  <si>
    <t xml:space="preserve">Category Breakdown</t>
  </si>
  <si>
    <t xml:space="preserve">Category</t>
  </si>
  <si>
    <t xml:space="preserve">Commander</t>
  </si>
  <si>
    <t xml:space="preserve">Token Makers</t>
  </si>
  <si>
    <t xml:space="preserve">Token Payoffs</t>
  </si>
  <si>
    <t xml:space="preserve">Aristocrats &amp; Drain</t>
  </si>
  <si>
    <t xml:space="preserve">Sacrifice Outlets</t>
  </si>
  <si>
    <t xml:space="preserve">Ramp &amp; Rocks</t>
  </si>
  <si>
    <t xml:space="preserve">Removal &amp; Interaction</t>
  </si>
  <si>
    <t xml:space="preserve">Card Advantage</t>
  </si>
  <si>
    <t xml:space="preserve">Artifacts Matters</t>
  </si>
  <si>
    <t xml:space="preserve">Lands</t>
  </si>
  <si>
    <t xml:space="preserve">Creature</t>
  </si>
  <si>
    <t xml:space="preserve">Instant</t>
  </si>
  <si>
    <t xml:space="preserve">Sorcery</t>
  </si>
  <si>
    <t xml:space="preserve">Artifact</t>
  </si>
  <si>
    <t xml:space="preserve">Enchantment</t>
  </si>
  <si>
    <t xml:space="preserve">Rendmaw, Creaking Nest — Comprehensive Decklist (Tokens / Artifacts, v12)</t>
  </si>
  <si>
    <t xml:space="preserve">Quantity</t>
  </si>
  <si>
    <t xml:space="preserve">Card Name</t>
  </si>
  <si>
    <t xml:space="preserve">Card Type</t>
  </si>
  <si>
    <t xml:space="preserve">Rendmaw Trigger?</t>
  </si>
  <si>
    <t xml:space="preserve">Key Card?</t>
  </si>
  <si>
    <t xml:space="preserve">Est. Cost (USD)</t>
  </si>
  <si>
    <t xml:space="preserve">Collection Status</t>
  </si>
  <si>
    <t xml:space="preserve">Notes &amp; Strategy</t>
  </si>
  <si>
    <t xml:space="preserve">Copper Myr</t>
  </si>
  <si>
    <t xml:space="preserve">Yes</t>
  </si>
  <si>
    <t xml:space="preserve">No</t>
  </si>
  <si>
    <t xml:space="preserve">Ordered</t>
  </si>
  <si>
    <t xml:space="preserve">Artifact Creature: Rendmaw trigger that taps for green.</t>
  </si>
  <si>
    <t xml:space="preserve">Pygmy Kavu</t>
  </si>
  <si>
    <t xml:space="preserve">Owned</t>
  </si>
  <si>
    <t xml:space="preserve">Requested include. NOTE: not a Rendmaw trigger (plain green creature); only draws off opponents' black creatures, so it is the softest card here — easy swap for another trigger later.</t>
  </si>
  <si>
    <t xml:space="preserve">Artifact Creature 5/5, menace &amp; reach. On ETB and whenever you play a card with 2+ card types, each player makes a goaded 2/2 flying Bird — your Birds must attack opponents, theirs cannot hit you.</t>
  </si>
  <si>
    <t xml:space="preserve">Arcane Signet</t>
  </si>
  <si>
    <t xml:space="preserve">Two-mana rock that taps for either of your colors.</t>
  </si>
  <si>
    <t xml:space="preserve">Ashnod's Altar</t>
  </si>
  <si>
    <t xml:space="preserve">Sacrifice any creature for two colorless — fuels explosive turns and combos with token engines.</t>
  </si>
  <si>
    <t xml:space="preserve">Golgari Signet</t>
  </si>
  <si>
    <t xml:space="preserve">Ramp and fixing in one — filters mana into black and green.</t>
  </si>
  <si>
    <t xml:space="preserve">Idol of Oblivion</t>
  </si>
  <si>
    <t xml:space="preserve">Two-mana artifact: tap to draw a card any turn you made a token — nearly every turn here. Late game, sacrifice for a 10/10 Eldrazi. Replaces Pitiless Plunderer.</t>
  </si>
  <si>
    <t xml:space="preserve">March of the World Ooze</t>
  </si>
  <si>
    <t xml:space="preserve">Need</t>
  </si>
  <si>
    <t xml:space="preserve">Creatures you control have base power and toughness 6/6 and are Oozes in addition to their other types; whenever an opponent casts a spell on a turn that isn't theirs, create a 3/3 green Elephant. A perpetual Overrun that turns every 2/2 Bird into a 6/6. Replaces Skullclamp, which found a legal 1-toughness target on only 0.35 turns per game.</t>
  </si>
  <si>
    <t xml:space="preserve">Sol Ring</t>
  </si>
  <si>
    <t xml:space="preserve">The best accelerant in the format — two colorless as early as turn one.</t>
  </si>
  <si>
    <t xml:space="preserve">Arasta of the Endless Web</t>
  </si>
  <si>
    <t xml:space="preserve">Enchantment Creature: Rendmaw trigger. A 1/5 reach wall that spawns 1/2 Spiders whenever opponents cast instants/sorceries — fodder that punishes interaction.</t>
  </si>
  <si>
    <t xml:space="preserve">Blood Artist</t>
  </si>
  <si>
    <t xml:space="preserve">Drains a life and gains you one whenever ANY creature dies — the core aristocrats payoff.</t>
  </si>
  <si>
    <t xml:space="preserve">Burnished Hart</t>
  </si>
  <si>
    <t xml:space="preserve">Artifact Creature: triggers Rendmaw, ramps two basics, and sacrifices itself for later value.</t>
  </si>
  <si>
    <t xml:space="preserve">Dockside Chef</t>
  </si>
  <si>
    <t xml:space="preserve">Enchantment Creature: Rendmaw trigger plus a repeatable sacrifice-for-a-card outlet — turns your Birds into cards.</t>
  </si>
  <si>
    <t xml:space="preserve">Dryad of the Ilysian Grove</t>
  </si>
  <si>
    <t xml:space="preserve">Enchantment Creature (Rendmaw trigger), 2/4. Extra land drop each turn plus all your lands tap for any color — ramp, perfect fixing, and landfall on a body. Replaces Kodama's Reach.</t>
  </si>
  <si>
    <t xml:space="preserve">Erebos, Bleak-Hearted</t>
  </si>
  <si>
    <t xml:space="preserve">Enchantment Creature: Rendmaw trigger, drains when your creatures die, and sacrifices them to draw.</t>
  </si>
  <si>
    <t xml:space="preserve">Filigree Familiar</t>
  </si>
  <si>
    <t xml:space="preserve">Artifact Creature: Rendmaw trigger, gains life, and draws a card when sacrificed.</t>
  </si>
  <si>
    <t xml:space="preserve">Foundry Inspector</t>
  </si>
  <si>
    <t xml:space="preserve">Artifact Creature (Rendmaw trigger). Your artifact spells cost {1} less — deploys the artifact swarm (and more triggers) faster. Replaces Bastion of Remembrance.</t>
  </si>
  <si>
    <t xml:space="preserve">Gloomshrieker</t>
  </si>
  <si>
    <t xml:space="preserve">Enchantment Creature — Cat Beast 2/1 menace (Rendmaw trigger). ETB returns ANY permanent card from your graveyard to hand — recur a dead artifact, token engine, or land. Exiles itself instead of dying. Replaces Cultivate.</t>
  </si>
  <si>
    <t xml:space="preserve">Grave Titan</t>
  </si>
  <si>
    <t xml:space="preserve">Four Zombie power on cast and again on every attack — a one-card army and top-end threat.</t>
  </si>
  <si>
    <t xml:space="preserve">Grist, the Hunger Tide</t>
  </si>
  <si>
    <t xml:space="preserve">Planeswalker</t>
  </si>
  <si>
    <t xml:space="preserve">Planeswalker that's a creature card everywhere except the battlefield, so casting it (Planeswalker + Creature) triggers Rendmaw. +1: make an Insect and chain off milled Insects. -2: sac a creature to destroy a creature/planeswalker. -5: drain for creatures in your graveyard. Replaces Ogre Slumlord.</t>
  </si>
  <si>
    <t xml:space="preserve">Haywire Mite</t>
  </si>
  <si>
    <t xml:space="preserve">Artifact Creature: Rendmaw trigger that sacrifices to exile a problem artifact or enchantment — colorless removal on a body.</t>
  </si>
  <si>
    <t xml:space="preserve">Junk Diver</t>
  </si>
  <si>
    <t xml:space="preserve">Artifact Creature — Bird (Rendmaw trigger), 1/1 flyer. Dies to return an artifact from your graveyard — a flying Myr Retriever, on-theme with your Birds. Replaces Scute Swarm.</t>
  </si>
  <si>
    <t xml:space="preserve">Leaden Myr</t>
  </si>
  <si>
    <t xml:space="preserve">Artifact Creature: Rendmaw trigger that taps for black.</t>
  </si>
  <si>
    <t xml:space="preserve">Massacre Wurm</t>
  </si>
  <si>
    <t xml:space="preserve">Gives enemy creatures -2/-2 (sweeps tokens) and drains for each that dies — an asymmetrical wrath.</t>
  </si>
  <si>
    <t xml:space="preserve">Metallic Mimic</t>
  </si>
  <si>
    <t xml:space="preserve">Artifact Creature — Shapeshifter (Rendmaw trigger). Name 'Bird' as it enters and every Rendmaw Bird arrives as a 3/3 — a permanent anthem baked into your token engine. Replaces Dreadhorde Invasion.</t>
  </si>
  <si>
    <t xml:space="preserve">Midnight Reaper</t>
  </si>
  <si>
    <t xml:space="preserve">Draws a card for each nontoken creature you lose — refuels the aristocrats plan.</t>
  </si>
  <si>
    <t xml:space="preserve">Myr Retriever</t>
  </si>
  <si>
    <t xml:space="preserve">Artifact Creature (Rendmaw trigger). Dies to return an artifact from your graveyard — recursion loop with sac outlets. Replaces Dictate of Erebos.</t>
  </si>
  <si>
    <t xml:space="preserve">Ohran Frostfang</t>
  </si>
  <si>
    <t xml:space="preserve">Snow Snake 2/6. Your ATTACKING creatures gain deathtouch (goaded Birds trade up brutally) and you draw a card whenever a creature connects. Huge go-wide combat payoff. Replaces Poison-Tip Archer.</t>
  </si>
  <si>
    <t xml:space="preserve">Ophiomancer</t>
  </si>
  <si>
    <t xml:space="preserve">A 1/1 deathtouch Snake each upkeep. Endless sac fodder plus deathtouch blockers that deter attacks.</t>
  </si>
  <si>
    <t xml:space="preserve">Ornithopter of Paradise</t>
  </si>
  <si>
    <t xml:space="preserve">Artifact Creature: Rendmaw trigger and any-color fixing on a 0/2 flyer.</t>
  </si>
  <si>
    <t xml:space="preserve">Overlord of the Hauntwoods</t>
  </si>
  <si>
    <t xml:space="preserve">Enchantment Creature (Rendmaw trigger), 6/5, Impending 4. Creates an 'Everywhere' land token (taps for any color) on enter AND on attack — repeatable ramp/fixing on a huge body. Replaces Izoni.</t>
  </si>
  <si>
    <t xml:space="preserve">Palladium Myr</t>
  </si>
  <si>
    <t xml:space="preserve">Artifact Creature: Rendmaw trigger that ramps two colorless.</t>
  </si>
  <si>
    <t xml:space="preserve">Sakura-Tribe Elder</t>
  </si>
  <si>
    <t xml:space="preserve">Blocks, then sacrifices to ramp — a chump, a sac trigger, and a land all at once.</t>
  </si>
  <si>
    <t xml:space="preserve">Scrap Trawler</t>
  </si>
  <si>
    <t xml:space="preserve">Artifact Creature (Rendmaw trigger). Whenever an artifact you control dies, return a cheaper artifact from your graveyard — a recursion engine with your Treasures, dorks, and sac outlets. Replaces Chatterfang.</t>
  </si>
  <si>
    <t xml:space="preserve">Shigeki, Jukai Visionary</t>
  </si>
  <si>
    <t xml:space="preserve">Enchantment Creature (Rendmaw trigger). Bounces itself to ramp a land and fill your graveyard; its channel returns nonlegendary cards from the yard. Value + recursion. Replaces Parallel Lives (Primal Vigor kept as your doubler).</t>
  </si>
  <si>
    <t xml:space="preserve">Solemn Simulacrum</t>
  </si>
  <si>
    <t xml:space="preserve">Artifact Creature: Rendmaw trigger, ramps, draws on death, ideal sac fodder.</t>
  </si>
  <si>
    <t xml:space="preserve">Steel Overseer</t>
  </si>
  <si>
    <t xml:space="preserve">Artifact Creature (Rendmaw trigger). Taps to put a +1/+1 counter on EVERY artifact creature you control — a snowballing anthem over your dozen-plus artifact bodies. Straight upgrade over the Manakin it replaces.</t>
  </si>
  <si>
    <t xml:space="preserve">Tendershoot Dryad</t>
  </si>
  <si>
    <t xml:space="preserve">A Saproling every upkeep (two after ten permanents) and anthems your whole board.</t>
  </si>
  <si>
    <t xml:space="preserve">Twitching Doll</t>
  </si>
  <si>
    <t xml:space="preserve">Artifact Creature: Rendmaw trigger and a mana dork; stockpile nest counters, then sacrifice it for a pile of 2/2 reach Spiders.</t>
  </si>
  <si>
    <t xml:space="preserve">Verdurous Gearhulk</t>
  </si>
  <si>
    <t xml:space="preserve">Artifact Creature: Rendmaw trigger that dumps four +1/+1 counters onto your board.</t>
  </si>
  <si>
    <t xml:space="preserve">Woe Strider</t>
  </si>
  <si>
    <t xml:space="preserve">Free sac outlet with scry, comes with a Goat token, and escapes back from the graveyard.</t>
  </si>
  <si>
    <t xml:space="preserve">Beastmaster Ascension</t>
  </si>
  <si>
    <t xml:space="preserve">After seven attackers it gives every creature +5/+5 — trivial with a wide Bird board.</t>
  </si>
  <si>
    <t xml:space="preserve">Biotransference</t>
  </si>
  <si>
    <t xml:space="preserve">Black enchantment engine (not a trigger itself, but the best trigger-ENABLER you can run). Makes all your creatures/creature-spells artifacts, so casting ANY creature becomes an artifact creature (2 types) that triggers Rendmaw AND makes a 2/2 Necron token. Also switches on Steel Overseer, Scrap Trawler, and Foundry Inspector for your whole board. Replaces Myr Battlesphere.</t>
  </si>
  <si>
    <t xml:space="preserve">Bow of Nylea</t>
  </si>
  <si>
    <t xml:space="preserve">Enchantment Artifact (Rendmaw trigger): repeatable deathtouch pings, +1/+1 counters, and recursion.</t>
  </si>
  <si>
    <t xml:space="preserve">Deathreap Ritual</t>
  </si>
  <si>
    <t xml:space="preserve">Draw a card each turn a creature died — usually multiple across everyone's turns.</t>
  </si>
  <si>
    <t xml:space="preserve">Lignify</t>
  </si>
  <si>
    <t xml:space="preserve">Kindred (Tribal) Enchantment Aura, so it triggers Rendmaw — neuters a threat into a 0/4 Treefolk with no abilities.</t>
  </si>
  <si>
    <t xml:space="preserve">Primal Vigor</t>
  </si>
  <si>
    <t xml:space="preserve">Doubles every token you create (stacks with Parallel Lives) and doubles +1/+1 counters. Symmetric — it also doubles opponents' Rendmaw Birds — but you make far more tokens than they do. Replaces Eyeblight's Ending.</t>
  </si>
  <si>
    <t xml:space="preserve">Whip of Erebos</t>
  </si>
  <si>
    <t xml:space="preserve">Enchantment Artifact (Rendmaw trigger): lifelink for your team and a reanimation engine.</t>
  </si>
  <si>
    <t xml:space="preserve">Assassin's Trophy</t>
  </si>
  <si>
    <t xml:space="preserve">Destroys any permanent at instant speed — the premier Golgari answer.</t>
  </si>
  <si>
    <t xml:space="preserve">Beast Within</t>
  </si>
  <si>
    <t xml:space="preserve">Destroys any permanent; the 3/3 it leaves is easily outclassed by your board.</t>
  </si>
  <si>
    <t xml:space="preserve">Eyeblight's Ending</t>
  </si>
  <si>
    <t xml:space="preserve">Clean instant-speed removal for almost any creature. Re-added (replaces Slimefoot).</t>
  </si>
  <si>
    <t xml:space="preserve">Heroic Intervention</t>
  </si>
  <si>
    <t xml:space="preserve">Protects your whole board from wraths and targeted removal for two mana.</t>
  </si>
  <si>
    <t xml:space="preserve">Nameless Inversion</t>
  </si>
  <si>
    <t xml:space="preserve">A Kindred Instant, so it triggers Rendmaw — flexible +3/-3 to kill or pump.</t>
  </si>
  <si>
    <t xml:space="preserve">Reap</t>
  </si>
  <si>
    <t xml:space="preserve">For {1}{G} at instant speed, return X cards from your graveyard where X = the black permanents an opponent controls — and Rendmaw hands everyone black Birds, so this refills your hand cheaply. Replaces Deadly Dispute.</t>
  </si>
  <si>
    <t xml:space="preserve">Village Rites</t>
  </si>
  <si>
    <t xml:space="preserve">Instant-speed sac-for-two-cards — save a creature from removal and refill.</t>
  </si>
  <si>
    <t xml:space="preserve">Bojuka Bog</t>
  </si>
  <si>
    <t xml:space="preserve">Land</t>
  </si>
  <si>
    <t xml:space="preserve">Exiles a graveyard on entry — free graveyard hate.</t>
  </si>
  <si>
    <t xml:space="preserve">Castle Locthwain</t>
  </si>
  <si>
    <t xml:space="preserve">Repeatable card draw that gets better as your hand empties.</t>
  </si>
  <si>
    <t xml:space="preserve">Cavern of Souls</t>
  </si>
  <si>
    <t xml:space="preserve">Command Tower</t>
  </si>
  <si>
    <t xml:space="preserve">Taps for both your colors — the best fixing land in Commander.</t>
  </si>
  <si>
    <t xml:space="preserve">Darkbore Pathway</t>
  </si>
  <si>
    <t xml:space="preserve">Modal land — enters untapped as a Swamp or a Forest.</t>
  </si>
  <si>
    <t xml:space="preserve">Darkmoss Bridge</t>
  </si>
  <si>
    <t xml:space="preserve">Cheap, reliable B/G tapland.</t>
  </si>
  <si>
    <t xml:space="preserve">Darksteel Citadel</t>
  </si>
  <si>
    <t xml:space="preserve">Indestructible Artifact Land (taps colorless): a resilient Rendmaw trigger in the mana base.</t>
  </si>
  <si>
    <t xml:space="preserve">Deathcap Glade</t>
  </si>
  <si>
    <t xml:space="preserve">B/G "slow" dual — enters untapped once you control two other lands.</t>
  </si>
  <si>
    <t xml:space="preserve">Dryad Arbor</t>
  </si>
  <si>
    <t xml:space="preserve">Land Creature — a Rendmaw trigger you can play from hand, a ramp target, and disposable blocker/sac fodder.</t>
  </si>
  <si>
    <t xml:space="preserve">Forest</t>
  </si>
  <si>
    <t xml:space="preserve">Basic Forest.</t>
  </si>
  <si>
    <t xml:space="preserve">Golgari Rot Farm</t>
  </si>
  <si>
    <t xml:space="preserve">Karoo bounce land — taps for two mana of your colors.</t>
  </si>
  <si>
    <t xml:space="preserve">Grim Backwoods</t>
  </si>
  <si>
    <t xml:space="preserve">Utility land: sacrifice a creature to draw — an extra sac outlet in the mana base.</t>
  </si>
  <si>
    <t xml:space="preserve">High Market</t>
  </si>
  <si>
    <t xml:space="preserve">A land that doubles as a free sac outlet with lifegain.</t>
  </si>
  <si>
    <t xml:space="preserve">Khalni Garden</t>
  </si>
  <si>
    <t xml:space="preserve">Enters tapped but makes a 0/1 Plant — a free token and chump/sac fodder.</t>
  </si>
  <si>
    <t xml:space="preserve">Llanowar Wastes</t>
  </si>
  <si>
    <t xml:space="preserve">Painland — untapped colored mana whenever you need it.</t>
  </si>
  <si>
    <t xml:space="preserve">Necroblossom Snarl</t>
  </si>
  <si>
    <t xml:space="preserve">Reveal-a-land dual — untapped if you show a Swamp or Forest.</t>
  </si>
  <si>
    <t xml:space="preserve">Overgrown Tomb</t>
  </si>
  <si>
    <t xml:space="preserve">Golgari shock land — untapped dual with basic land types.</t>
  </si>
  <si>
    <t xml:space="preserve">Swamp</t>
  </si>
  <si>
    <t xml:space="preserve">Basic Swamp.</t>
  </si>
  <si>
    <t xml:space="preserve">Tainted Wood</t>
  </si>
  <si>
    <t xml:space="preserve">Taps for black, or green while you control a Swamp.</t>
  </si>
  <si>
    <t xml:space="preserve">Treasure Vault</t>
  </si>
  <si>
    <t xml:space="preserve">Artifact Land — a Rendmaw trigger built into the mana base. Taps for colorless; late game, sacrifice for a pile of Treasures ({X}{X},T,Sac: make X). Replaces a basic Swamp.</t>
  </si>
  <si>
    <t xml:space="preserve">Vault of Whispers</t>
  </si>
  <si>
    <t xml:space="preserve">Artifact Land (taps black): a Rendmaw trigger built right into the mana base.</t>
  </si>
  <si>
    <t xml:space="preserve">Witch's Cottage</t>
  </si>
  <si>
    <t xml:space="preserve">Puts a creature from your graveyard on top of your library on entry.</t>
  </si>
  <si>
    <t xml:space="preserve">Woodland Chasm</t>
  </si>
  <si>
    <t xml:space="preserve">Snow B/G tapland — fixes colors and enables snow synergies.</t>
  </si>
  <si>
    <t xml:space="preserve">Culling Ritual</t>
  </si>
  <si>
    <t xml:space="preserve">Wipes all small nonland permanents (MV 2 or less) and ramps B/G for each. Note: it clears YOUR tokens too — best as a drain/reset with a Blood Artist online, or when behind.</t>
  </si>
  <si>
    <t xml:space="preserve">Overwhelming Stampede</t>
  </si>
  <si>
    <t xml:space="preserve">Overrun-style finisher: pumps the team and grants trample for a lethal alpha strike.</t>
  </si>
  <si>
    <t xml:space="preserve">Toxic Deluge</t>
  </si>
  <si>
    <t xml:space="preserve">Owned - Other Deck</t>
  </si>
  <si>
    <t xml:space="preserve">Pay X life: all creatures get -X/-X (dodges indestructible). Asymmetric here — size X to sweep the table while your +1/+1-countered board (Metallic Mimic, Steel Overseer) survives. Your recovery/reset button. Replaces Viscera Seer.</t>
  </si>
  <si>
    <t xml:space="preserve">Coat of Arms</t>
  </si>
  <si>
    <t xml:space="preserve">Proxy</t>
  </si>
  <si>
    <t xml:space="preserve">Each creature gets +1/+1 for each other creature sharing a type — with Metallic Mimic naming Bird and a wide Bird board your team explodes. Symmetric (also pumps opponents' Birds), so deploy it as a finisher. Replaces Mycoloth.</t>
  </si>
  <si>
    <t xml:space="preserve">The Great Henge</t>
  </si>
  <si>
    <t xml:space="preserve">Legendary Artifact. Costs {X} less where X is your greatest creature's power (often ~{2}{G}{G} with Rendmaw out). Taps for {G}{G} + life; every NONTOKEN creature you play draws a card and enters with a +1/+1 counter. (Mana value is 9, but you rarely pay full.) Replaces Pharika.</t>
  </si>
  <si>
    <t xml:space="preserve">Enduring Vitality</t>
  </si>
  <si>
    <t xml:space="preserve">Enchantment Creature: Rendmaw trigger. Turns every creature — including your token swarm — into a mana source, and returns as an enchantment when it dies.</t>
  </si>
  <si>
    <t xml:space="preserve">Roaming Throne</t>
  </si>
  <si>
    <t xml:space="preserve">Artifact Creature — Golem 4/4, Ward 2 (Rendmaw trigger). Name 'Scarecrow' as it enters and Rendmaw's ability fires an extra time — DOUBLE Birds on every multi-type play. Off-commander, name another type (Insect/Zombie/Snake) to double a different creature's trigger. Replaces Carrion Feeder.</t>
  </si>
  <si>
    <t xml:space="preserve">Bitterblossom</t>
  </si>
  <si>
    <t xml:space="preserve">Kindred Enchantment — triggers Rendmaw on cast. Makes a 1/1 flying black Faerie every upkeep (lose 1 life): a relentless stream of evasive tokens and fodder. Replaces Yahenni.</t>
  </si>
  <si>
    <t xml:space="preserve">The Meathook Massacre</t>
  </si>
  <si>
    <t xml:space="preserve">Legendary Enchantment (X spell). Cast for {X}{B}{B} to give all creatures -X/-X — a scalable wipe you tune to spare your own bigger threats. Then it stays as a drain engine: opponents lose life when your creatures die, you gain life when theirs do. Recur from the graveyard for {2}{B}. Replaces Butcher of Malakir.</t>
  </si>
  <si>
    <t xml:space="preserve">Tree of Tales</t>
  </si>
  <si>
    <t xml:space="preserve">Artifact Land (taps green): a Rendmaw trigger built right into the mana base.</t>
  </si>
  <si>
    <t xml:space="preserve">Hagra Mauling</t>
  </si>
  <si>
    <t xml:space="preserve">Modal land — a removal spell (destroy a creature) or a tapped land when you need the drop.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</si>
</sst>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.0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8B0000"/>
      <name val="Segoe UI"/>
      <family val="0"/>
      <charset val="1"/>
    </font>
    <font>
      <i val="true"/>
      <sz val="12"/>
      <color rgb="FF555555"/>
      <name val="Segoe UI"/>
      <family val="0"/>
      <charset val="1"/>
    </font>
    <font>
      <b val="true"/>
      <sz val="14"/>
      <color rgb="FF8B000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1"/>
      <name val="Segoe UI"/>
      <family val="0"/>
      <charset val="1"/>
    </font>
    <font>
      <sz val="11"/>
      <name val="Segoe UI"/>
      <family val="0"/>
      <charset val="1"/>
    </font>
    <font>
      <b val="true"/>
      <sz val="12"/>
      <color rgb="FF8B00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BBB59"/>
      <rgbColor rgb="FFFFCC00"/>
      <rgbColor rgb="FFF79646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C0504D"/>
      <rgbColor rgb="FF8064A2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Mana Curve (Spells)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Dashboard!$B$15:$B$26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3</c:v>
                </c:pt>
                <c:pt idx="1">
                  <c:v>21</c:v>
                </c:pt>
                <c:pt idx="2">
                  <c:v>20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6088305"/>
        <c:axId val="88519583"/>
      </c:barChart>
      <c:catAx>
        <c:axId val="56088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CA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CA" sz="1000" spc="-1" strike="noStrike">
                    <a:solidFill>
                      <a:srgbClr val="000000"/>
                    </a:solidFill>
                    <a:latin typeface="Calibri"/>
                  </a:rPr>
                  <a:t>Mana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19583"/>
        <c:crosses val="autoZero"/>
        <c:auto val="1"/>
        <c:lblAlgn val="ctr"/>
        <c:lblOffset val="100"/>
        <c:noMultiLvlLbl val="0"/>
      </c:catAx>
      <c:valAx>
        <c:axId val="88519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CA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CA" sz="1000" spc="-1" strike="noStrike">
                    <a:solidFill>
                      <a:srgbClr val="000000"/>
                    </a:solidFill>
                    <a:latin typeface="Calibri"/>
                  </a:rPr>
                  <a:t>Number of Cards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88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Deck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Dashboard!$B$31:$B$40</c:f>
              <c:strCache>
                <c:ptCount val="10"/>
                <c:pt idx="0">
                  <c:v>Commander</c:v>
                </c:pt>
                <c:pt idx="1">
                  <c:v>Token Makers</c:v>
                </c:pt>
                <c:pt idx="2">
                  <c:v>Token Payoffs</c:v>
                </c:pt>
                <c:pt idx="3">
                  <c:v>Aristocrats &amp; Drain</c:v>
                </c:pt>
                <c:pt idx="4">
                  <c:v>Sacrifice Outlets</c:v>
                </c:pt>
                <c:pt idx="5">
                  <c:v>Ramp &amp; Rocks</c:v>
                </c:pt>
                <c:pt idx="6">
                  <c:v>Removal &amp; Interaction</c:v>
                </c:pt>
                <c:pt idx="7">
                  <c:v>Card Advantage</c:v>
                </c:pt>
                <c:pt idx="8">
                  <c:v>Artifacts Matters</c:v>
                </c:pt>
                <c:pt idx="9">
                  <c:v>Lands</c:v>
                </c:pt>
              </c:strCache>
            </c:strRef>
          </c:cat>
          <c:val>
            <c:numRef>
              <c:f>Dashboard!$C$31:$C$40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10</c:v>
                </c:pt>
                <c:pt idx="3">
                  <c:v>3</c:v>
                </c:pt>
                <c:pt idx="4">
                  <c:v>3</c:v>
                </c:pt>
                <c:pt idx="5">
                  <c:v>11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Deck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Dashboard!$B$43:$B$48</c:f>
              <c:strCache>
                <c:ptCount val="6"/>
                <c:pt idx="0">
                  <c:v>Creature</c:v>
                </c:pt>
                <c:pt idx="1">
                  <c:v>Instant</c:v>
                </c:pt>
                <c:pt idx="2">
                  <c:v>Sorcery</c:v>
                </c:pt>
                <c:pt idx="3">
                  <c:v>Artifact</c:v>
                </c:pt>
                <c:pt idx="4">
                  <c:v>Enchantment</c:v>
                </c:pt>
                <c:pt idx="5">
                  <c:v>Lands</c:v>
                </c:pt>
              </c:strCache>
            </c:strRef>
          </c:cat>
          <c:val>
            <c:numRef>
              <c:f>Dashboard!$C$43:$C$48</c:f>
              <c:numCache>
                <c:formatCode>General</c:formatCode>
                <c:ptCount val="6"/>
                <c:pt idx="0">
                  <c:v>36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13</xdr:col>
      <xdr:colOff>252720</xdr:colOff>
      <xdr:row>21</xdr:row>
      <xdr:rowOff>14760</xdr:rowOff>
    </xdr:to>
    <xdr:graphicFrame>
      <xdr:nvGraphicFramePr>
        <xdr:cNvPr id="0" name="Chart 1"/>
        <xdr:cNvGraphicFramePr/>
      </xdr:nvGraphicFramePr>
      <xdr:xfrm>
        <a:off x="5333400" y="914400"/>
        <a:ext cx="5750640" cy="357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95400</xdr:rowOff>
    </xdr:from>
    <xdr:to>
      <xdr:col>13</xdr:col>
      <xdr:colOff>252720</xdr:colOff>
      <xdr:row>38</xdr:row>
      <xdr:rowOff>157680</xdr:rowOff>
    </xdr:to>
    <xdr:graphicFrame>
      <xdr:nvGraphicFramePr>
        <xdr:cNvPr id="1" name="Chart 2"/>
        <xdr:cNvGraphicFramePr/>
      </xdr:nvGraphicFramePr>
      <xdr:xfrm>
        <a:off x="5333400" y="4572000"/>
        <a:ext cx="5750640" cy="357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371520</xdr:colOff>
      <xdr:row>21</xdr:row>
      <xdr:rowOff>85680</xdr:rowOff>
    </xdr:from>
    <xdr:to>
      <xdr:col>23</xdr:col>
      <xdr:colOff>12240</xdr:colOff>
      <xdr:row>38</xdr:row>
      <xdr:rowOff>147960</xdr:rowOff>
    </xdr:to>
    <xdr:graphicFrame>
      <xdr:nvGraphicFramePr>
        <xdr:cNvPr id="2" name="Chart 3"/>
        <xdr:cNvGraphicFramePr/>
      </xdr:nvGraphicFramePr>
      <xdr:xfrm>
        <a:off x="11202840" y="4562280"/>
        <a:ext cx="5749200" cy="357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"/>
    <col collapsed="false" customWidth="true" hidden="false" outlineLevel="0" max="3" min="3" style="0" width="11"/>
  </cols>
  <sheetData>
    <row r="2" customFormat="false" ht="26.25" hidden="false" customHeight="true" outlineLevel="0" collapsed="false">
      <c r="B2" s="1" t="s">
        <v>0</v>
      </c>
    </row>
    <row r="3" customFormat="false" ht="17.25" hidden="false" customHeight="true" outlineLevel="0" collapsed="false">
      <c r="B3" s="2" t="s">
        <v>1</v>
      </c>
    </row>
    <row r="5" customFormat="false" ht="20.25" hidden="false" customHeight="true" outlineLevel="0" collapsed="false">
      <c r="B5" s="3" t="s">
        <v>2</v>
      </c>
    </row>
    <row r="6" customFormat="false" ht="16.5" hidden="false" customHeight="true" outlineLevel="0" collapsed="false">
      <c r="B6" s="4" t="s">
        <v>3</v>
      </c>
      <c r="C6" s="4" t="s">
        <v>4</v>
      </c>
    </row>
    <row r="7" customFormat="false" ht="16.5" hidden="false" customHeight="true" outlineLevel="0" collapsed="false">
      <c r="B7" s="5" t="s">
        <v>5</v>
      </c>
      <c r="C7" s="6" t="n">
        <f aca="false">SUM(Decklist!A4:A92)</f>
        <v>100</v>
      </c>
    </row>
    <row r="8" customFormat="false" ht="16.5" hidden="false" customHeight="true" outlineLevel="0" collapsed="false">
      <c r="B8" s="5" t="s">
        <v>6</v>
      </c>
      <c r="C8" s="7" t="n">
        <f aca="false">SUMPRODUCT(Decklist!A4:A92, Decklist!H4:H92)</f>
        <v>400.3</v>
      </c>
    </row>
    <row r="9" customFormat="false" ht="16.5" hidden="false" customHeight="true" outlineLevel="0" collapsed="false">
      <c r="B9" s="5" t="s">
        <v>7</v>
      </c>
      <c r="C9" s="6" t="n">
        <f aca="false">MAX(Decklist!E4:E92)</f>
        <v>9</v>
      </c>
    </row>
    <row r="10" customFormat="false" ht="16.5" hidden="false" customHeight="true" outlineLevel="0" collapsed="false">
      <c r="B10" s="5" t="s">
        <v>8</v>
      </c>
      <c r="C10" s="8" t="n">
        <f aca="false">AVERAGEIF(Decklist!B4:B92, "&lt;&gt;Lands", Decklist!E4:E92)</f>
        <v>3.203125</v>
      </c>
    </row>
    <row r="13" customFormat="false" ht="17.25" hidden="false" customHeight="true" outlineLevel="0" collapsed="false">
      <c r="B13" s="9" t="s">
        <v>9</v>
      </c>
    </row>
    <row r="14" customFormat="false" ht="16.5" hidden="false" customHeight="true" outlineLevel="0" collapsed="false">
      <c r="B14" s="10" t="s">
        <v>10</v>
      </c>
      <c r="C14" s="10" t="s">
        <v>11</v>
      </c>
    </row>
    <row r="15" customFormat="false" ht="16.5" hidden="false" customHeight="true" outlineLevel="0" collapsed="false">
      <c r="B15" s="6" t="n">
        <v>1</v>
      </c>
      <c r="C15" s="6" t="n">
        <f aca="false">SUMIFS(Decklist!A$4:A$92, Decklist!E$4:E$92, B15, Decklist!B$4:B$92, "&lt;&gt;Lands")</f>
        <v>3</v>
      </c>
    </row>
    <row r="16" customFormat="false" ht="16.5" hidden="false" customHeight="true" outlineLevel="0" collapsed="false">
      <c r="B16" s="6" t="n">
        <v>2</v>
      </c>
      <c r="C16" s="6" t="n">
        <f aca="false">SUMIFS(Decklist!A$4:A$92, Decklist!E$4:E$92, B16, Decklist!B$4:B$92, "&lt;&gt;Lands")</f>
        <v>21</v>
      </c>
    </row>
    <row r="17" customFormat="false" ht="16.5" hidden="false" customHeight="true" outlineLevel="0" collapsed="false">
      <c r="B17" s="6" t="n">
        <v>3</v>
      </c>
      <c r="C17" s="6" t="n">
        <f aca="false">SUMIFS(Decklist!A$4:A$92, Decklist!E$4:E$92, B17, Decklist!B$4:B$92, "&lt;&gt;Lands")</f>
        <v>20</v>
      </c>
    </row>
    <row r="18" customFormat="false" ht="16.5" hidden="false" customHeight="true" outlineLevel="0" collapsed="false">
      <c r="B18" s="6" t="n">
        <v>4</v>
      </c>
      <c r="C18" s="6" t="n">
        <f aca="false">SUMIFS(Decklist!A$4:A$92, Decklist!E$4:E$92, B18, Decklist!B$4:B$92, "&lt;&gt;Lands")</f>
        <v>8</v>
      </c>
    </row>
    <row r="19" customFormat="false" ht="16.5" hidden="false" customHeight="true" outlineLevel="0" collapsed="false">
      <c r="B19" s="6" t="n">
        <v>5</v>
      </c>
      <c r="C19" s="6" t="n">
        <f aca="false">SUMIFS(Decklist!A$4:A$92, Decklist!E$4:E$92, B19, Decklist!B$4:B$92, "&lt;&gt;Lands")</f>
        <v>7</v>
      </c>
    </row>
    <row r="20" customFormat="false" ht="16.5" hidden="false" customHeight="true" outlineLevel="0" collapsed="false">
      <c r="B20" s="6" t="n">
        <v>6</v>
      </c>
      <c r="C20" s="6" t="n">
        <f aca="false">SUMIFS(Decklist!A$4:A$92, Decklist!E$4:E$92, B20, Decklist!B$4:B$92, "&lt;&gt;Lands")</f>
        <v>4</v>
      </c>
    </row>
    <row r="21" customFormat="false" ht="16.5" hidden="false" customHeight="true" outlineLevel="0" collapsed="false">
      <c r="B21" s="6" t="n">
        <v>7</v>
      </c>
      <c r="C21" s="6" t="n">
        <f aca="false">SUMIFS(Decklist!A$4:A$92, Decklist!E$4:E$92, B21, Decklist!B$4:B$92, "&lt;&gt;Lands")</f>
        <v>0</v>
      </c>
    </row>
    <row r="22" customFormat="false" ht="16.5" hidden="false" customHeight="true" outlineLevel="0" collapsed="false">
      <c r="B22" s="6" t="n">
        <v>8</v>
      </c>
      <c r="C22" s="6" t="n">
        <f aca="false">SUMIFS(Decklist!A$4:A$92, Decklist!E$4:E$92, B22, Decklist!B$4:B$92, "&lt;&gt;Lands")</f>
        <v>0</v>
      </c>
    </row>
    <row r="23" customFormat="false" ht="16.5" hidden="false" customHeight="true" outlineLevel="0" collapsed="false">
      <c r="B23" s="6" t="n">
        <v>9</v>
      </c>
      <c r="C23" s="6" t="n">
        <f aca="false">SUMIFS(Decklist!A$4:A$92, Decklist!E$4:E$92, B23, Decklist!B$4:B$92, "&lt;&gt;Lands")</f>
        <v>1</v>
      </c>
    </row>
    <row r="24" customFormat="false" ht="16.5" hidden="false" customHeight="true" outlineLevel="0" collapsed="false">
      <c r="B24" s="6" t="n">
        <v>10</v>
      </c>
      <c r="C24" s="6" t="n">
        <f aca="false">SUMIFS(Decklist!A$4:A$92, Decklist!E$4:E$92, B24, Decklist!B$4:B$92, "&lt;&gt;Lands")</f>
        <v>0</v>
      </c>
    </row>
    <row r="25" customFormat="false" ht="16.5" hidden="false" customHeight="true" outlineLevel="0" collapsed="false">
      <c r="B25" s="6" t="n">
        <v>11</v>
      </c>
      <c r="C25" s="6" t="n">
        <f aca="false">SUMIFS(Decklist!A$4:A$92, Decklist!E$4:E$92, B25, Decklist!B$4:B$92, "&lt;&gt;Lands")</f>
        <v>0</v>
      </c>
    </row>
    <row r="26" customFormat="false" ht="16.5" hidden="false" customHeight="true" outlineLevel="0" collapsed="false">
      <c r="B26" s="6" t="n">
        <v>12</v>
      </c>
      <c r="C26" s="6" t="n">
        <f aca="false">SUMIFS(Decklist!A$4:A$92, Decklist!E$4:E$92, B26, Decklist!B$4:B$92, "&lt;&gt;Lands")</f>
        <v>0</v>
      </c>
    </row>
    <row r="29" customFormat="false" ht="17.25" hidden="false" customHeight="true" outlineLevel="0" collapsed="false">
      <c r="B29" s="9" t="s">
        <v>12</v>
      </c>
    </row>
    <row r="30" customFormat="false" ht="16.5" hidden="false" customHeight="true" outlineLevel="0" collapsed="false">
      <c r="B30" s="10" t="s">
        <v>13</v>
      </c>
      <c r="C30" s="10" t="s">
        <v>11</v>
      </c>
    </row>
    <row r="31" customFormat="false" ht="16.5" hidden="false" customHeight="true" outlineLevel="0" collapsed="false">
      <c r="B31" s="6" t="s">
        <v>14</v>
      </c>
      <c r="C31" s="6" t="n">
        <f aca="false">SUMIF(Decklist!B$4:B$92, B31, Decklist!A$4:A$92)</f>
        <v>1</v>
      </c>
    </row>
    <row r="32" customFormat="false" ht="16.5" hidden="false" customHeight="true" outlineLevel="0" collapsed="false">
      <c r="B32" s="6" t="s">
        <v>15</v>
      </c>
      <c r="C32" s="6" t="n">
        <f aca="false">SUMIF(Decklist!B$4:B$92, B32, Decklist!A$4:A$92)</f>
        <v>10</v>
      </c>
    </row>
    <row r="33" customFormat="false" ht="16.5" hidden="false" customHeight="true" outlineLevel="0" collapsed="false">
      <c r="B33" s="6" t="s">
        <v>16</v>
      </c>
      <c r="C33" s="6" t="n">
        <f aca="false">SUMIF(Decklist!B$4:B$92, B33, Decklist!A$4:A$92)</f>
        <v>10</v>
      </c>
    </row>
    <row r="34" customFormat="false" ht="16.5" hidden="false" customHeight="true" outlineLevel="0" collapsed="false">
      <c r="B34" s="6" t="s">
        <v>17</v>
      </c>
      <c r="C34" s="6" t="n">
        <f aca="false">SUMIF(Decklist!B$4:B$92, B34, Decklist!A$4:A$92)</f>
        <v>3</v>
      </c>
    </row>
    <row r="35" customFormat="false" ht="16.5" hidden="false" customHeight="true" outlineLevel="0" collapsed="false">
      <c r="B35" s="6" t="s">
        <v>18</v>
      </c>
      <c r="C35" s="6" t="n">
        <f aca="false">SUMIF(Decklist!B$4:B$92, B35, Decklist!A$4:A$92)</f>
        <v>3</v>
      </c>
    </row>
    <row r="36" customFormat="false" ht="16.5" hidden="false" customHeight="true" outlineLevel="0" collapsed="false">
      <c r="B36" s="6" t="s">
        <v>19</v>
      </c>
      <c r="C36" s="6" t="n">
        <f aca="false">SUMIF(Decklist!B$4:B$92, B36, Decklist!A$4:A$92)</f>
        <v>11</v>
      </c>
    </row>
    <row r="37" customFormat="false" ht="16.5" hidden="false" customHeight="true" outlineLevel="0" collapsed="false">
      <c r="B37" s="6" t="s">
        <v>20</v>
      </c>
      <c r="C37" s="6" t="n">
        <f aca="false">SUMIF(Decklist!B$4:B$92, B37, Decklist!A$4:A$92)</f>
        <v>11</v>
      </c>
    </row>
    <row r="38" customFormat="false" ht="16.5" hidden="false" customHeight="true" outlineLevel="0" collapsed="false">
      <c r="B38" s="6" t="s">
        <v>21</v>
      </c>
      <c r="C38" s="6" t="n">
        <f aca="false">SUMIF(Decklist!B$4:B$92, B38, Decklist!A$4:A$92)</f>
        <v>8</v>
      </c>
    </row>
    <row r="39" customFormat="false" ht="16.5" hidden="false" customHeight="true" outlineLevel="0" collapsed="false">
      <c r="B39" s="6" t="s">
        <v>22</v>
      </c>
      <c r="C39" s="6" t="n">
        <f aca="false">SUMIF(Decklist!B$4:B$92, B39, Decklist!A$4:A$92)</f>
        <v>7</v>
      </c>
    </row>
    <row r="40" customFormat="false" ht="15" hidden="false" customHeight="true" outlineLevel="0" collapsed="false">
      <c r="B40" s="6" t="s">
        <v>23</v>
      </c>
      <c r="C40" s="6" t="n">
        <f aca="false">SUMIF(Decklist!B$4:B$92, B40, Decklist!A$4:A$92)</f>
        <v>36</v>
      </c>
    </row>
    <row r="41" customFormat="false" ht="17.25" hidden="false" customHeight="true" outlineLevel="0" collapsed="false">
      <c r="B41" s="9" t="s">
        <v>12</v>
      </c>
    </row>
    <row r="42" customFormat="false" ht="16.5" hidden="false" customHeight="true" outlineLevel="0" collapsed="false">
      <c r="B42" s="10" t="s">
        <v>13</v>
      </c>
      <c r="C42" s="10" t="s">
        <v>11</v>
      </c>
    </row>
    <row r="43" customFormat="false" ht="16.5" hidden="false" customHeight="true" outlineLevel="0" collapsed="false">
      <c r="B43" s="6" t="s">
        <v>24</v>
      </c>
      <c r="C43" s="6" t="n">
        <f aca="false">SUMIF(Decklist!D$4:D$92, B43, Decklist!A$4:A$92)</f>
        <v>36</v>
      </c>
    </row>
    <row r="44" customFormat="false" ht="16.5" hidden="false" customHeight="true" outlineLevel="0" collapsed="false">
      <c r="B44" s="6" t="s">
        <v>25</v>
      </c>
      <c r="C44" s="6" t="n">
        <f aca="false">SUMIF(Decklist!D$4:D$92, B44, Decklist!A$4:A$92)</f>
        <v>7</v>
      </c>
    </row>
    <row r="45" customFormat="false" ht="16.5" hidden="false" customHeight="true" outlineLevel="0" collapsed="false">
      <c r="B45" s="6" t="s">
        <v>26</v>
      </c>
      <c r="C45" s="6" t="n">
        <f aca="false">SUMIF(Decklist!D$4:D$92, B45, Decklist!A$4:A$92)</f>
        <v>3</v>
      </c>
    </row>
    <row r="46" customFormat="false" ht="16.5" hidden="false" customHeight="true" outlineLevel="0" collapsed="false">
      <c r="B46" s="6" t="s">
        <v>27</v>
      </c>
      <c r="C46" s="6" t="n">
        <f aca="false">SUMIF(Decklist!D$4:D$92, B46, Decklist!A$4:A$92)</f>
        <v>7</v>
      </c>
    </row>
    <row r="47" customFormat="false" ht="16.5" hidden="false" customHeight="true" outlineLevel="0" collapsed="false">
      <c r="B47" s="6" t="s">
        <v>28</v>
      </c>
      <c r="C47" s="6" t="n">
        <f aca="false">SUMIF(Decklist!D$4:D$92, B47, Decklist!A$4:A$92)</f>
        <v>10</v>
      </c>
    </row>
    <row r="48" customFormat="false" ht="16.5" hidden="false" customHeight="true" outlineLevel="0" collapsed="false">
      <c r="B48" s="6" t="s">
        <v>23</v>
      </c>
      <c r="C48" s="6" t="n">
        <f aca="false">SUMIF(Decklist!B$4:B$92, "Lands", Decklist!A$4:A$92)</f>
        <v>36</v>
      </c>
    </row>
    <row r="49" customFormat="false" ht="16.5" hidden="false" customHeight="true" outlineLevel="0" collapsed="false">
      <c r="B49" s="6"/>
      <c r="C49" s="6" t="n">
        <f aca="false">SUM(C43:C48)</f>
        <v>99</v>
      </c>
    </row>
    <row r="50" customFormat="false" ht="16.5" hidden="false" customHeight="true" outlineLevel="0" collapsed="false">
      <c r="B50" s="6"/>
      <c r="C50" s="6"/>
    </row>
    <row r="51" customFormat="false" ht="16.5" hidden="false" customHeight="true" outlineLevel="0" collapsed="false">
      <c r="B51" s="6"/>
      <c r="C51" s="6"/>
    </row>
  </sheetData>
  <printOptions headings="false" gridLines="false" gridLinesSet="true" horizontalCentered="false" verticalCentered="false"/>
  <pageMargins left="0.75" right="0.75" top="1" bottom="1" header="0.511805555555556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&amp;R&amp;"Aptos,Regular"&amp;1  UNCLASSIFIED - NON CLASSIFIÉ#_x005F_x000d_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"/>
  <sheetViews>
    <sheetView showFormulas="false" showGridLines="true" showRowColHeaders="true" showZeros="true" rightToLeft="false" tabSelected="true" showOutlineSymbols="true" defaultGridColor="true" view="normal" topLeftCell="A40" colorId="64" zoomScale="70" zoomScaleNormal="70" zoomScalePageLayoutView="100" workbookViewId="0">
      <selection pane="topLeft" activeCell="G57" activeCellId="0" sqref="G5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8" min="5" style="0" width="11"/>
    <col collapsed="false" customWidth="true" hidden="false" outlineLevel="0" max="9" min="9" style="0" width="22.88"/>
    <col collapsed="false" customWidth="true" hidden="false" outlineLevel="0" max="10" min="10" style="0" width="94"/>
  </cols>
  <sheetData>
    <row r="1" customFormat="false" ht="26.25" hidden="false" customHeight="true" outlineLevel="0" collapsed="false">
      <c r="A1" s="1" t="s">
        <v>29</v>
      </c>
    </row>
    <row r="3" customFormat="false" ht="33" hidden="false" customHeight="true" outlineLevel="0" collapsed="false">
      <c r="A3" s="11" t="s">
        <v>30</v>
      </c>
      <c r="B3" s="11" t="s">
        <v>13</v>
      </c>
      <c r="C3" s="11" t="s">
        <v>31</v>
      </c>
      <c r="D3" s="11" t="s">
        <v>32</v>
      </c>
      <c r="E3" s="11" t="s">
        <v>10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</row>
    <row r="4" customFormat="false" ht="16.5" hidden="false" customHeight="true" outlineLevel="0" collapsed="false">
      <c r="A4" s="12" t="n">
        <v>1</v>
      </c>
      <c r="B4" s="13" t="s">
        <v>19</v>
      </c>
      <c r="C4" s="13" t="s">
        <v>38</v>
      </c>
      <c r="D4" s="13" t="s">
        <v>24</v>
      </c>
      <c r="E4" s="12" t="n">
        <v>2</v>
      </c>
      <c r="F4" s="12" t="s">
        <v>39</v>
      </c>
      <c r="G4" s="12" t="s">
        <v>40</v>
      </c>
      <c r="H4" s="14" t="n">
        <v>1</v>
      </c>
      <c r="I4" s="12" t="s">
        <v>41</v>
      </c>
      <c r="J4" s="13" t="s">
        <v>42</v>
      </c>
    </row>
    <row r="5" customFormat="false" ht="16.5" hidden="false" customHeight="true" outlineLevel="0" collapsed="false">
      <c r="A5" s="12" t="n">
        <v>1</v>
      </c>
      <c r="B5" s="13" t="s">
        <v>21</v>
      </c>
      <c r="C5" s="13" t="s">
        <v>43</v>
      </c>
      <c r="D5" s="13" t="s">
        <v>24</v>
      </c>
      <c r="E5" s="12" t="n">
        <v>4</v>
      </c>
      <c r="F5" s="12"/>
      <c r="G5" s="12" t="s">
        <v>40</v>
      </c>
      <c r="H5" s="14" t="n">
        <v>1</v>
      </c>
      <c r="I5" s="12" t="s">
        <v>44</v>
      </c>
      <c r="J5" s="13" t="s">
        <v>45</v>
      </c>
    </row>
    <row r="6" customFormat="false" ht="16.5" hidden="false" customHeight="true" outlineLevel="0" collapsed="false">
      <c r="A6" s="12" t="n">
        <v>1</v>
      </c>
      <c r="B6" s="13" t="s">
        <v>14</v>
      </c>
      <c r="C6" s="13" t="s">
        <v>0</v>
      </c>
      <c r="D6" s="13" t="s">
        <v>24</v>
      </c>
      <c r="E6" s="12" t="n">
        <v>5</v>
      </c>
      <c r="F6" s="12" t="s">
        <v>39</v>
      </c>
      <c r="G6" s="12" t="s">
        <v>39</v>
      </c>
      <c r="H6" s="14" t="n">
        <v>2</v>
      </c>
      <c r="I6" s="12" t="s">
        <v>44</v>
      </c>
      <c r="J6" s="13" t="s">
        <v>46</v>
      </c>
    </row>
    <row r="7" customFormat="false" ht="16.5" hidden="false" customHeight="true" outlineLevel="0" collapsed="false">
      <c r="A7" s="12" t="n">
        <v>1</v>
      </c>
      <c r="B7" s="13" t="s">
        <v>19</v>
      </c>
      <c r="C7" s="13" t="s">
        <v>47</v>
      </c>
      <c r="D7" s="13" t="s">
        <v>27</v>
      </c>
      <c r="E7" s="12" t="n">
        <v>2</v>
      </c>
      <c r="F7" s="12"/>
      <c r="G7" s="12" t="s">
        <v>40</v>
      </c>
      <c r="H7" s="14" t="n">
        <v>1</v>
      </c>
      <c r="I7" s="12" t="s">
        <v>44</v>
      </c>
      <c r="J7" s="13" t="s">
        <v>48</v>
      </c>
    </row>
    <row r="8" customFormat="false" ht="16.5" hidden="false" customHeight="true" outlineLevel="0" collapsed="false">
      <c r="A8" s="12" t="n">
        <v>1</v>
      </c>
      <c r="B8" s="13" t="s">
        <v>18</v>
      </c>
      <c r="C8" s="13" t="s">
        <v>49</v>
      </c>
      <c r="D8" s="13" t="s">
        <v>27</v>
      </c>
      <c r="E8" s="12" t="n">
        <v>3</v>
      </c>
      <c r="F8" s="12"/>
      <c r="G8" s="12" t="s">
        <v>39</v>
      </c>
      <c r="H8" s="14" t="n">
        <v>8</v>
      </c>
      <c r="I8" s="12" t="s">
        <v>44</v>
      </c>
      <c r="J8" s="13" t="s">
        <v>50</v>
      </c>
    </row>
    <row r="9" customFormat="false" ht="16.5" hidden="false" customHeight="true" outlineLevel="0" collapsed="false">
      <c r="A9" s="12" t="n">
        <v>1</v>
      </c>
      <c r="B9" s="13" t="s">
        <v>19</v>
      </c>
      <c r="C9" s="13" t="s">
        <v>51</v>
      </c>
      <c r="D9" s="13" t="s">
        <v>27</v>
      </c>
      <c r="E9" s="12" t="n">
        <v>2</v>
      </c>
      <c r="F9" s="12"/>
      <c r="G9" s="12" t="s">
        <v>40</v>
      </c>
      <c r="H9" s="14" t="n">
        <v>2</v>
      </c>
      <c r="I9" s="12" t="s">
        <v>44</v>
      </c>
      <c r="J9" s="13" t="s">
        <v>52</v>
      </c>
    </row>
    <row r="10" customFormat="false" ht="16.5" hidden="false" customHeight="true" outlineLevel="0" collapsed="false">
      <c r="A10" s="12" t="n">
        <v>1</v>
      </c>
      <c r="B10" s="13" t="s">
        <v>16</v>
      </c>
      <c r="C10" s="13" t="s">
        <v>53</v>
      </c>
      <c r="D10" s="13" t="s">
        <v>27</v>
      </c>
      <c r="E10" s="12" t="n">
        <v>2</v>
      </c>
      <c r="F10" s="12"/>
      <c r="G10" s="12" t="s">
        <v>39</v>
      </c>
      <c r="H10" s="14" t="n">
        <v>2</v>
      </c>
      <c r="I10" s="12" t="s">
        <v>44</v>
      </c>
      <c r="J10" s="13" t="s">
        <v>54</v>
      </c>
    </row>
    <row r="11" customFormat="false" ht="16.5" hidden="false" customHeight="true" outlineLevel="0" collapsed="false">
      <c r="A11" s="12" t="n">
        <v>1</v>
      </c>
      <c r="B11" s="13" t="s">
        <v>16</v>
      </c>
      <c r="C11" s="13" t="s">
        <v>55</v>
      </c>
      <c r="D11" s="13" t="s">
        <v>28</v>
      </c>
      <c r="E11" s="12" t="n">
        <v>6</v>
      </c>
      <c r="F11" s="12"/>
      <c r="G11" s="12" t="s">
        <v>39</v>
      </c>
      <c r="H11" s="14" t="n">
        <v>2</v>
      </c>
      <c r="I11" s="12" t="s">
        <v>56</v>
      </c>
      <c r="J11" s="13" t="s">
        <v>57</v>
      </c>
    </row>
    <row r="12" customFormat="false" ht="16.5" hidden="false" customHeight="true" outlineLevel="0" collapsed="false">
      <c r="A12" s="12" t="n">
        <v>1</v>
      </c>
      <c r="B12" s="13" t="s">
        <v>19</v>
      </c>
      <c r="C12" s="13" t="s">
        <v>58</v>
      </c>
      <c r="D12" s="13" t="s">
        <v>27</v>
      </c>
      <c r="E12" s="12" t="n">
        <v>1</v>
      </c>
      <c r="F12" s="12"/>
      <c r="G12" s="12" t="s">
        <v>39</v>
      </c>
      <c r="H12" s="14" t="n">
        <v>2</v>
      </c>
      <c r="I12" s="12" t="s">
        <v>44</v>
      </c>
      <c r="J12" s="13" t="s">
        <v>59</v>
      </c>
    </row>
    <row r="13" customFormat="false" ht="16.5" hidden="false" customHeight="true" outlineLevel="0" collapsed="false">
      <c r="A13" s="12" t="n">
        <v>1</v>
      </c>
      <c r="B13" s="13" t="s">
        <v>15</v>
      </c>
      <c r="C13" s="13" t="s">
        <v>60</v>
      </c>
      <c r="D13" s="13" t="s">
        <v>24</v>
      </c>
      <c r="E13" s="12" t="n">
        <v>4</v>
      </c>
      <c r="F13" s="12" t="s">
        <v>39</v>
      </c>
      <c r="G13" s="12" t="s">
        <v>40</v>
      </c>
      <c r="H13" s="14" t="n">
        <v>1</v>
      </c>
      <c r="I13" s="12" t="s">
        <v>44</v>
      </c>
      <c r="J13" s="13" t="s">
        <v>61</v>
      </c>
    </row>
    <row r="14" customFormat="false" ht="16.5" hidden="false" customHeight="true" outlineLevel="0" collapsed="false">
      <c r="A14" s="12" t="n">
        <v>1</v>
      </c>
      <c r="B14" s="13" t="s">
        <v>17</v>
      </c>
      <c r="C14" s="13" t="s">
        <v>62</v>
      </c>
      <c r="D14" s="13" t="s">
        <v>24</v>
      </c>
      <c r="E14" s="12" t="n">
        <v>2</v>
      </c>
      <c r="F14" s="12"/>
      <c r="G14" s="12" t="s">
        <v>39</v>
      </c>
      <c r="H14" s="14" t="n">
        <v>4</v>
      </c>
      <c r="I14" s="12" t="s">
        <v>44</v>
      </c>
      <c r="J14" s="13" t="s">
        <v>63</v>
      </c>
    </row>
    <row r="15" customFormat="false" ht="16.5" hidden="false" customHeight="true" outlineLevel="0" collapsed="false">
      <c r="A15" s="12" t="n">
        <v>1</v>
      </c>
      <c r="B15" s="13" t="s">
        <v>15</v>
      </c>
      <c r="C15" s="13" t="s">
        <v>64</v>
      </c>
      <c r="D15" s="13" t="s">
        <v>24</v>
      </c>
      <c r="E15" s="12" t="n">
        <v>3</v>
      </c>
      <c r="F15" s="12" t="s">
        <v>39</v>
      </c>
      <c r="G15" s="12" t="s">
        <v>40</v>
      </c>
      <c r="H15" s="14" t="n">
        <v>1</v>
      </c>
      <c r="I15" s="12" t="s">
        <v>44</v>
      </c>
      <c r="J15" s="13" t="s">
        <v>65</v>
      </c>
    </row>
    <row r="16" customFormat="false" ht="16.5" hidden="false" customHeight="true" outlineLevel="0" collapsed="false">
      <c r="A16" s="12" t="n">
        <v>1</v>
      </c>
      <c r="B16" s="13" t="s">
        <v>18</v>
      </c>
      <c r="C16" s="13" t="s">
        <v>66</v>
      </c>
      <c r="D16" s="13" t="s">
        <v>24</v>
      </c>
      <c r="E16" s="12" t="n">
        <v>2</v>
      </c>
      <c r="F16" s="12" t="s">
        <v>39</v>
      </c>
      <c r="G16" s="12" t="s">
        <v>40</v>
      </c>
      <c r="H16" s="14" t="n">
        <v>1</v>
      </c>
      <c r="I16" s="12" t="s">
        <v>44</v>
      </c>
      <c r="J16" s="13" t="s">
        <v>67</v>
      </c>
    </row>
    <row r="17" customFormat="false" ht="16.5" hidden="false" customHeight="true" outlineLevel="0" collapsed="false">
      <c r="A17" s="12" t="n">
        <v>1</v>
      </c>
      <c r="B17" s="13" t="s">
        <v>19</v>
      </c>
      <c r="C17" s="13" t="s">
        <v>68</v>
      </c>
      <c r="D17" s="13" t="s">
        <v>24</v>
      </c>
      <c r="E17" s="12" t="n">
        <v>3</v>
      </c>
      <c r="F17" s="12" t="s">
        <v>39</v>
      </c>
      <c r="G17" s="12" t="s">
        <v>39</v>
      </c>
      <c r="H17" s="14" t="n">
        <v>9</v>
      </c>
      <c r="I17" s="12" t="s">
        <v>44</v>
      </c>
      <c r="J17" s="13" t="s">
        <v>69</v>
      </c>
    </row>
    <row r="18" customFormat="false" ht="16.5" hidden="false" customHeight="true" outlineLevel="0" collapsed="false">
      <c r="A18" s="12" t="n">
        <v>1</v>
      </c>
      <c r="B18" s="13" t="s">
        <v>17</v>
      </c>
      <c r="C18" s="13" t="s">
        <v>70</v>
      </c>
      <c r="D18" s="13" t="s">
        <v>24</v>
      </c>
      <c r="E18" s="12" t="n">
        <v>4</v>
      </c>
      <c r="F18" s="12" t="s">
        <v>39</v>
      </c>
      <c r="G18" s="12" t="s">
        <v>39</v>
      </c>
      <c r="H18" s="14" t="n">
        <v>4</v>
      </c>
      <c r="I18" s="12" t="s">
        <v>44</v>
      </c>
      <c r="J18" s="13" t="s">
        <v>71</v>
      </c>
    </row>
    <row r="19" customFormat="false" ht="16.5" hidden="false" customHeight="true" outlineLevel="0" collapsed="false">
      <c r="A19" s="12" t="n">
        <v>1</v>
      </c>
      <c r="B19" s="13" t="s">
        <v>15</v>
      </c>
      <c r="C19" s="13" t="s">
        <v>72</v>
      </c>
      <c r="D19" s="13" t="s">
        <v>24</v>
      </c>
      <c r="E19" s="12" t="n">
        <v>3</v>
      </c>
      <c r="F19" s="12" t="s">
        <v>39</v>
      </c>
      <c r="G19" s="12" t="s">
        <v>40</v>
      </c>
      <c r="H19" s="14" t="n">
        <v>1</v>
      </c>
      <c r="I19" s="12" t="s">
        <v>44</v>
      </c>
      <c r="J19" s="13" t="s">
        <v>73</v>
      </c>
    </row>
    <row r="20" customFormat="false" ht="16.5" hidden="false" customHeight="true" outlineLevel="0" collapsed="false">
      <c r="A20" s="12" t="n">
        <v>1</v>
      </c>
      <c r="B20" s="13" t="s">
        <v>22</v>
      </c>
      <c r="C20" s="13" t="s">
        <v>74</v>
      </c>
      <c r="D20" s="13" t="s">
        <v>24</v>
      </c>
      <c r="E20" s="12" t="n">
        <v>3</v>
      </c>
      <c r="F20" s="12" t="s">
        <v>39</v>
      </c>
      <c r="G20" s="12" t="s">
        <v>40</v>
      </c>
      <c r="H20" s="14" t="n">
        <v>1</v>
      </c>
      <c r="I20" s="12" t="s">
        <v>44</v>
      </c>
      <c r="J20" s="13" t="s">
        <v>75</v>
      </c>
    </row>
    <row r="21" customFormat="false" ht="16.5" hidden="false" customHeight="true" outlineLevel="0" collapsed="false">
      <c r="A21" s="12" t="n">
        <v>1</v>
      </c>
      <c r="B21" s="13" t="s">
        <v>21</v>
      </c>
      <c r="C21" s="13" t="s">
        <v>76</v>
      </c>
      <c r="D21" s="13" t="s">
        <v>24</v>
      </c>
      <c r="E21" s="12" t="n">
        <v>3</v>
      </c>
      <c r="F21" s="12" t="s">
        <v>39</v>
      </c>
      <c r="G21" s="12" t="s">
        <v>40</v>
      </c>
      <c r="H21" s="14" t="n">
        <v>1</v>
      </c>
      <c r="I21" s="12" t="s">
        <v>44</v>
      </c>
      <c r="J21" s="13" t="s">
        <v>77</v>
      </c>
    </row>
    <row r="22" customFormat="false" ht="16.5" hidden="false" customHeight="true" outlineLevel="0" collapsed="false">
      <c r="A22" s="12" t="n">
        <v>1</v>
      </c>
      <c r="B22" s="13" t="s">
        <v>15</v>
      </c>
      <c r="C22" s="13" t="s">
        <v>78</v>
      </c>
      <c r="D22" s="13" t="s">
        <v>24</v>
      </c>
      <c r="E22" s="12" t="n">
        <v>6</v>
      </c>
      <c r="F22" s="12"/>
      <c r="G22" s="12" t="s">
        <v>39</v>
      </c>
      <c r="H22" s="14" t="n">
        <v>7</v>
      </c>
      <c r="I22" s="12" t="s">
        <v>44</v>
      </c>
      <c r="J22" s="13" t="s">
        <v>79</v>
      </c>
    </row>
    <row r="23" customFormat="false" ht="16.5" hidden="false" customHeight="true" outlineLevel="0" collapsed="false">
      <c r="A23" s="12" t="n">
        <v>1</v>
      </c>
      <c r="B23" s="13" t="s">
        <v>15</v>
      </c>
      <c r="C23" s="13" t="s">
        <v>80</v>
      </c>
      <c r="D23" s="13" t="s">
        <v>81</v>
      </c>
      <c r="E23" s="12" t="n">
        <v>3</v>
      </c>
      <c r="F23" s="12" t="s">
        <v>39</v>
      </c>
      <c r="G23" s="12" t="s">
        <v>39</v>
      </c>
      <c r="H23" s="14" t="n">
        <v>8</v>
      </c>
      <c r="I23" s="12" t="s">
        <v>44</v>
      </c>
      <c r="J23" s="13" t="s">
        <v>82</v>
      </c>
    </row>
    <row r="24" customFormat="false" ht="16.5" hidden="false" customHeight="true" outlineLevel="0" collapsed="false">
      <c r="A24" s="12" t="n">
        <v>1</v>
      </c>
      <c r="B24" s="13" t="s">
        <v>20</v>
      </c>
      <c r="C24" s="13" t="s">
        <v>83</v>
      </c>
      <c r="D24" s="13" t="s">
        <v>24</v>
      </c>
      <c r="E24" s="12" t="n">
        <v>1</v>
      </c>
      <c r="F24" s="12" t="s">
        <v>39</v>
      </c>
      <c r="G24" s="12" t="s">
        <v>39</v>
      </c>
      <c r="H24" s="14" t="n">
        <v>3</v>
      </c>
      <c r="I24" s="12" t="s">
        <v>44</v>
      </c>
      <c r="J24" s="13" t="s">
        <v>84</v>
      </c>
    </row>
    <row r="25" customFormat="false" ht="16.5" hidden="false" customHeight="true" outlineLevel="0" collapsed="false">
      <c r="A25" s="12" t="n">
        <v>1</v>
      </c>
      <c r="B25" s="13" t="s">
        <v>22</v>
      </c>
      <c r="C25" s="13" t="s">
        <v>85</v>
      </c>
      <c r="D25" s="13" t="s">
        <v>24</v>
      </c>
      <c r="E25" s="12" t="n">
        <v>3</v>
      </c>
      <c r="F25" s="12" t="s">
        <v>39</v>
      </c>
      <c r="G25" s="12" t="s">
        <v>40</v>
      </c>
      <c r="H25" s="14" t="n">
        <v>1</v>
      </c>
      <c r="I25" s="12" t="s">
        <v>44</v>
      </c>
      <c r="J25" s="13" t="s">
        <v>86</v>
      </c>
    </row>
    <row r="26" customFormat="false" ht="16.5" hidden="false" customHeight="true" outlineLevel="0" collapsed="false">
      <c r="A26" s="12" t="n">
        <v>1</v>
      </c>
      <c r="B26" s="13" t="s">
        <v>19</v>
      </c>
      <c r="C26" s="13" t="s">
        <v>87</v>
      </c>
      <c r="D26" s="13" t="s">
        <v>24</v>
      </c>
      <c r="E26" s="12" t="n">
        <v>2</v>
      </c>
      <c r="F26" s="12" t="s">
        <v>39</v>
      </c>
      <c r="G26" s="12" t="s">
        <v>40</v>
      </c>
      <c r="H26" s="14" t="n">
        <v>1</v>
      </c>
      <c r="I26" s="12" t="s">
        <v>44</v>
      </c>
      <c r="J26" s="13" t="s">
        <v>88</v>
      </c>
    </row>
    <row r="27" customFormat="false" ht="16.5" hidden="false" customHeight="true" outlineLevel="0" collapsed="false">
      <c r="A27" s="12" t="n">
        <v>1</v>
      </c>
      <c r="B27" s="13" t="s">
        <v>20</v>
      </c>
      <c r="C27" s="13" t="s">
        <v>89</v>
      </c>
      <c r="D27" s="13" t="s">
        <v>24</v>
      </c>
      <c r="E27" s="12" t="n">
        <v>6</v>
      </c>
      <c r="F27" s="12"/>
      <c r="G27" s="12" t="s">
        <v>39</v>
      </c>
      <c r="H27" s="14" t="n">
        <v>7</v>
      </c>
      <c r="I27" s="12" t="s">
        <v>44</v>
      </c>
      <c r="J27" s="13" t="s">
        <v>90</v>
      </c>
    </row>
    <row r="28" customFormat="false" ht="16.5" hidden="false" customHeight="true" outlineLevel="0" collapsed="false">
      <c r="A28" s="12" t="n">
        <v>1</v>
      </c>
      <c r="B28" s="13" t="s">
        <v>16</v>
      </c>
      <c r="C28" s="13" t="s">
        <v>91</v>
      </c>
      <c r="D28" s="13" t="s">
        <v>24</v>
      </c>
      <c r="E28" s="12" t="n">
        <v>2</v>
      </c>
      <c r="F28" s="12" t="s">
        <v>39</v>
      </c>
      <c r="G28" s="12" t="s">
        <v>39</v>
      </c>
      <c r="H28" s="14" t="n">
        <v>3</v>
      </c>
      <c r="I28" s="12" t="s">
        <v>44</v>
      </c>
      <c r="J28" s="13" t="s">
        <v>92</v>
      </c>
    </row>
    <row r="29" customFormat="false" ht="16.5" hidden="false" customHeight="true" outlineLevel="0" collapsed="false">
      <c r="A29" s="12" t="n">
        <v>1</v>
      </c>
      <c r="B29" s="13" t="s">
        <v>21</v>
      </c>
      <c r="C29" s="13" t="s">
        <v>93</v>
      </c>
      <c r="D29" s="13" t="s">
        <v>24</v>
      </c>
      <c r="E29" s="12" t="n">
        <v>3</v>
      </c>
      <c r="F29" s="12"/>
      <c r="G29" s="12" t="s">
        <v>39</v>
      </c>
      <c r="H29" s="14" t="n">
        <v>4</v>
      </c>
      <c r="I29" s="12" t="s">
        <v>44</v>
      </c>
      <c r="J29" s="13" t="s">
        <v>94</v>
      </c>
    </row>
    <row r="30" customFormat="false" ht="16.5" hidden="false" customHeight="true" outlineLevel="0" collapsed="false">
      <c r="A30" s="12" t="n">
        <v>1</v>
      </c>
      <c r="B30" s="13" t="s">
        <v>22</v>
      </c>
      <c r="C30" s="13" t="s">
        <v>95</v>
      </c>
      <c r="D30" s="13" t="s">
        <v>24</v>
      </c>
      <c r="E30" s="12" t="n">
        <v>2</v>
      </c>
      <c r="F30" s="12" t="s">
        <v>39</v>
      </c>
      <c r="G30" s="12" t="s">
        <v>40</v>
      </c>
      <c r="H30" s="14" t="n">
        <v>1</v>
      </c>
      <c r="I30" s="12" t="s">
        <v>44</v>
      </c>
      <c r="J30" s="13" t="s">
        <v>96</v>
      </c>
    </row>
    <row r="31" customFormat="false" ht="16.5" hidden="false" customHeight="true" outlineLevel="0" collapsed="false">
      <c r="A31" s="12" t="n">
        <v>1</v>
      </c>
      <c r="B31" s="13" t="s">
        <v>16</v>
      </c>
      <c r="C31" s="13" t="s">
        <v>97</v>
      </c>
      <c r="D31" s="13" t="s">
        <v>24</v>
      </c>
      <c r="E31" s="12" t="n">
        <v>5</v>
      </c>
      <c r="F31" s="12"/>
      <c r="G31" s="12" t="s">
        <v>39</v>
      </c>
      <c r="H31" s="14" t="n">
        <v>9</v>
      </c>
      <c r="I31" s="12" t="s">
        <v>44</v>
      </c>
      <c r="J31" s="13" t="s">
        <v>98</v>
      </c>
    </row>
    <row r="32" customFormat="false" ht="16.5" hidden="false" customHeight="true" outlineLevel="0" collapsed="false">
      <c r="A32" s="12" t="n">
        <v>1</v>
      </c>
      <c r="B32" s="13" t="s">
        <v>15</v>
      </c>
      <c r="C32" s="13" t="s">
        <v>99</v>
      </c>
      <c r="D32" s="13" t="s">
        <v>24</v>
      </c>
      <c r="E32" s="12" t="n">
        <v>3</v>
      </c>
      <c r="F32" s="12"/>
      <c r="G32" s="12" t="s">
        <v>39</v>
      </c>
      <c r="H32" s="14" t="n">
        <v>8</v>
      </c>
      <c r="I32" s="12" t="s">
        <v>44</v>
      </c>
      <c r="J32" s="13" t="s">
        <v>100</v>
      </c>
    </row>
    <row r="33" customFormat="false" ht="16.5" hidden="false" customHeight="true" outlineLevel="0" collapsed="false">
      <c r="A33" s="12" t="n">
        <v>1</v>
      </c>
      <c r="B33" s="13" t="s">
        <v>19</v>
      </c>
      <c r="C33" s="13" t="s">
        <v>101</v>
      </c>
      <c r="D33" s="13" t="s">
        <v>24</v>
      </c>
      <c r="E33" s="12" t="n">
        <v>2</v>
      </c>
      <c r="F33" s="12" t="s">
        <v>39</v>
      </c>
      <c r="G33" s="12" t="s">
        <v>40</v>
      </c>
      <c r="H33" s="14" t="n">
        <v>1</v>
      </c>
      <c r="I33" s="12" t="s">
        <v>44</v>
      </c>
      <c r="J33" s="13" t="s">
        <v>102</v>
      </c>
    </row>
    <row r="34" customFormat="false" ht="16.5" hidden="false" customHeight="true" outlineLevel="0" collapsed="false">
      <c r="A34" s="12" t="n">
        <v>1</v>
      </c>
      <c r="B34" s="13" t="s">
        <v>19</v>
      </c>
      <c r="C34" s="13" t="s">
        <v>103</v>
      </c>
      <c r="D34" s="13" t="s">
        <v>24</v>
      </c>
      <c r="E34" s="12" t="n">
        <v>5</v>
      </c>
      <c r="F34" s="12" t="s">
        <v>39</v>
      </c>
      <c r="G34" s="12" t="s">
        <v>39</v>
      </c>
      <c r="H34" s="14" t="n">
        <v>12</v>
      </c>
      <c r="I34" s="12" t="s">
        <v>44</v>
      </c>
      <c r="J34" s="13" t="s">
        <v>104</v>
      </c>
    </row>
    <row r="35" customFormat="false" ht="16.5" hidden="false" customHeight="true" outlineLevel="0" collapsed="false">
      <c r="A35" s="12" t="n">
        <v>1</v>
      </c>
      <c r="B35" s="13" t="s">
        <v>19</v>
      </c>
      <c r="C35" s="13" t="s">
        <v>105</v>
      </c>
      <c r="D35" s="13" t="s">
        <v>24</v>
      </c>
      <c r="E35" s="12" t="n">
        <v>3</v>
      </c>
      <c r="F35" s="12" t="s">
        <v>39</v>
      </c>
      <c r="G35" s="12" t="s">
        <v>40</v>
      </c>
      <c r="H35" s="14" t="n">
        <v>1</v>
      </c>
      <c r="I35" s="12" t="s">
        <v>44</v>
      </c>
      <c r="J35" s="13" t="s">
        <v>106</v>
      </c>
    </row>
    <row r="36" customFormat="false" ht="16.5" hidden="false" customHeight="true" outlineLevel="0" collapsed="false">
      <c r="A36" s="12" t="n">
        <v>1</v>
      </c>
      <c r="B36" s="13" t="s">
        <v>19</v>
      </c>
      <c r="C36" s="13" t="s">
        <v>107</v>
      </c>
      <c r="D36" s="13" t="s">
        <v>24</v>
      </c>
      <c r="E36" s="12" t="n">
        <v>2</v>
      </c>
      <c r="F36" s="12"/>
      <c r="G36" s="12" t="s">
        <v>39</v>
      </c>
      <c r="H36" s="14" t="n">
        <v>3</v>
      </c>
      <c r="I36" s="12" t="s">
        <v>44</v>
      </c>
      <c r="J36" s="13" t="s">
        <v>108</v>
      </c>
    </row>
    <row r="37" customFormat="false" ht="16.5" hidden="false" customHeight="true" outlineLevel="0" collapsed="false">
      <c r="A37" s="12" t="n">
        <v>1</v>
      </c>
      <c r="B37" s="13" t="s">
        <v>22</v>
      </c>
      <c r="C37" s="13" t="s">
        <v>109</v>
      </c>
      <c r="D37" s="13" t="s">
        <v>24</v>
      </c>
      <c r="E37" s="12" t="n">
        <v>3</v>
      </c>
      <c r="F37" s="12" t="s">
        <v>39</v>
      </c>
      <c r="G37" s="12" t="s">
        <v>40</v>
      </c>
      <c r="H37" s="14" t="n">
        <v>2</v>
      </c>
      <c r="I37" s="12" t="s">
        <v>44</v>
      </c>
      <c r="J37" s="13" t="s">
        <v>110</v>
      </c>
    </row>
    <row r="38" customFormat="false" ht="16.5" hidden="false" customHeight="true" outlineLevel="0" collapsed="false">
      <c r="A38" s="12" t="n">
        <v>1</v>
      </c>
      <c r="B38" s="13" t="s">
        <v>21</v>
      </c>
      <c r="C38" s="13" t="s">
        <v>111</v>
      </c>
      <c r="D38" s="13" t="s">
        <v>24</v>
      </c>
      <c r="E38" s="12" t="n">
        <v>2</v>
      </c>
      <c r="F38" s="12" t="s">
        <v>39</v>
      </c>
      <c r="G38" s="12" t="s">
        <v>40</v>
      </c>
      <c r="H38" s="14" t="n">
        <v>1</v>
      </c>
      <c r="I38" s="12" t="s">
        <v>44</v>
      </c>
      <c r="J38" s="13" t="s">
        <v>112</v>
      </c>
    </row>
    <row r="39" customFormat="false" ht="16.5" hidden="false" customHeight="true" outlineLevel="0" collapsed="false">
      <c r="A39" s="12" t="n">
        <v>1</v>
      </c>
      <c r="B39" s="13" t="s">
        <v>15</v>
      </c>
      <c r="C39" s="13" t="s">
        <v>113</v>
      </c>
      <c r="D39" s="13" t="s">
        <v>24</v>
      </c>
      <c r="E39" s="12" t="n">
        <v>4</v>
      </c>
      <c r="F39" s="12" t="s">
        <v>39</v>
      </c>
      <c r="G39" s="12" t="s">
        <v>40</v>
      </c>
      <c r="H39" s="14" t="n">
        <v>4</v>
      </c>
      <c r="I39" s="12" t="s">
        <v>44</v>
      </c>
      <c r="J39" s="13" t="s">
        <v>114</v>
      </c>
    </row>
    <row r="40" customFormat="false" ht="16.5" hidden="false" customHeight="true" outlineLevel="0" collapsed="false">
      <c r="A40" s="12" t="n">
        <v>1</v>
      </c>
      <c r="B40" s="13" t="s">
        <v>22</v>
      </c>
      <c r="C40" s="13" t="s">
        <v>115</v>
      </c>
      <c r="D40" s="13" t="s">
        <v>24</v>
      </c>
      <c r="E40" s="12" t="n">
        <v>2</v>
      </c>
      <c r="F40" s="12" t="s">
        <v>39</v>
      </c>
      <c r="G40" s="12" t="s">
        <v>40</v>
      </c>
      <c r="H40" s="14" t="n">
        <v>5</v>
      </c>
      <c r="I40" s="12" t="s">
        <v>44</v>
      </c>
      <c r="J40" s="13" t="s">
        <v>116</v>
      </c>
    </row>
    <row r="41" customFormat="false" ht="16.5" hidden="false" customHeight="true" outlineLevel="0" collapsed="false">
      <c r="A41" s="12" t="n">
        <v>1</v>
      </c>
      <c r="B41" s="13" t="s">
        <v>15</v>
      </c>
      <c r="C41" s="13" t="s">
        <v>117</v>
      </c>
      <c r="D41" s="13" t="s">
        <v>24</v>
      </c>
      <c r="E41" s="12" t="n">
        <v>6</v>
      </c>
      <c r="F41" s="12"/>
      <c r="G41" s="12" t="s">
        <v>40</v>
      </c>
      <c r="H41" s="14" t="n">
        <v>6</v>
      </c>
      <c r="I41" s="12" t="s">
        <v>44</v>
      </c>
      <c r="J41" s="13" t="s">
        <v>118</v>
      </c>
    </row>
    <row r="42" customFormat="false" ht="16.5" hidden="false" customHeight="true" outlineLevel="0" collapsed="false">
      <c r="A42" s="12" t="n">
        <v>1</v>
      </c>
      <c r="B42" s="13" t="s">
        <v>15</v>
      </c>
      <c r="C42" s="13" t="s">
        <v>119</v>
      </c>
      <c r="D42" s="13" t="s">
        <v>24</v>
      </c>
      <c r="E42" s="12" t="n">
        <v>2</v>
      </c>
      <c r="F42" s="12" t="s">
        <v>39</v>
      </c>
      <c r="G42" s="12" t="s">
        <v>39</v>
      </c>
      <c r="H42" s="14" t="n">
        <v>4</v>
      </c>
      <c r="I42" s="12" t="s">
        <v>44</v>
      </c>
      <c r="J42" s="13" t="s">
        <v>120</v>
      </c>
    </row>
    <row r="43" customFormat="false" ht="16.5" hidden="false" customHeight="true" outlineLevel="0" collapsed="false">
      <c r="A43" s="12" t="n">
        <v>1</v>
      </c>
      <c r="B43" s="13" t="s">
        <v>16</v>
      </c>
      <c r="C43" s="13" t="s">
        <v>121</v>
      </c>
      <c r="D43" s="13" t="s">
        <v>24</v>
      </c>
      <c r="E43" s="12" t="n">
        <v>5</v>
      </c>
      <c r="F43" s="12" t="s">
        <v>39</v>
      </c>
      <c r="G43" s="12" t="s">
        <v>40</v>
      </c>
      <c r="H43" s="14" t="n">
        <v>3</v>
      </c>
      <c r="I43" s="12" t="s">
        <v>44</v>
      </c>
      <c r="J43" s="13" t="s">
        <v>122</v>
      </c>
    </row>
    <row r="44" customFormat="false" ht="16.5" hidden="false" customHeight="true" outlineLevel="0" collapsed="false">
      <c r="A44" s="12" t="n">
        <v>1</v>
      </c>
      <c r="B44" s="13" t="s">
        <v>18</v>
      </c>
      <c r="C44" s="13" t="s">
        <v>123</v>
      </c>
      <c r="D44" s="13" t="s">
        <v>24</v>
      </c>
      <c r="E44" s="12" t="n">
        <v>3</v>
      </c>
      <c r="F44" s="12"/>
      <c r="G44" s="12" t="s">
        <v>39</v>
      </c>
      <c r="H44" s="14" t="n">
        <v>1</v>
      </c>
      <c r="I44" s="12" t="s">
        <v>44</v>
      </c>
      <c r="J44" s="13" t="s">
        <v>124</v>
      </c>
    </row>
    <row r="45" customFormat="false" ht="16.5" hidden="false" customHeight="true" outlineLevel="0" collapsed="false">
      <c r="A45" s="12" t="n">
        <v>1</v>
      </c>
      <c r="B45" s="13" t="s">
        <v>16</v>
      </c>
      <c r="C45" s="13" t="s">
        <v>125</v>
      </c>
      <c r="D45" s="13" t="s">
        <v>28</v>
      </c>
      <c r="E45" s="12" t="n">
        <v>2</v>
      </c>
      <c r="F45" s="12"/>
      <c r="G45" s="12" t="s">
        <v>40</v>
      </c>
      <c r="H45" s="14" t="n">
        <v>4</v>
      </c>
      <c r="I45" s="12" t="s">
        <v>44</v>
      </c>
      <c r="J45" s="13" t="s">
        <v>126</v>
      </c>
    </row>
    <row r="46" customFormat="false" ht="16.5" hidden="false" customHeight="true" outlineLevel="0" collapsed="false">
      <c r="A46" s="12" t="n">
        <v>1</v>
      </c>
      <c r="B46" s="13" t="s">
        <v>22</v>
      </c>
      <c r="C46" s="13" t="s">
        <v>127</v>
      </c>
      <c r="D46" s="13" t="s">
        <v>28</v>
      </c>
      <c r="E46" s="12" t="n">
        <v>4</v>
      </c>
      <c r="F46" s="12"/>
      <c r="G46" s="12" t="s">
        <v>39</v>
      </c>
      <c r="H46" s="14" t="n">
        <v>2</v>
      </c>
      <c r="I46" s="12" t="s">
        <v>44</v>
      </c>
      <c r="J46" s="13" t="s">
        <v>128</v>
      </c>
    </row>
    <row r="47" customFormat="false" ht="16.5" hidden="false" customHeight="true" outlineLevel="0" collapsed="false">
      <c r="A47" s="12" t="n">
        <v>1</v>
      </c>
      <c r="B47" s="13" t="s">
        <v>20</v>
      </c>
      <c r="C47" s="13" t="s">
        <v>129</v>
      </c>
      <c r="D47" s="13" t="s">
        <v>28</v>
      </c>
      <c r="E47" s="12" t="n">
        <v>3</v>
      </c>
      <c r="F47" s="12" t="s">
        <v>39</v>
      </c>
      <c r="G47" s="12" t="s">
        <v>40</v>
      </c>
      <c r="H47" s="14" t="n">
        <v>3</v>
      </c>
      <c r="I47" s="12" t="s">
        <v>44</v>
      </c>
      <c r="J47" s="13" t="s">
        <v>130</v>
      </c>
    </row>
    <row r="48" customFormat="false" ht="16.5" hidden="false" customHeight="true" outlineLevel="0" collapsed="false">
      <c r="A48" s="12" t="n">
        <v>1</v>
      </c>
      <c r="B48" s="13" t="s">
        <v>21</v>
      </c>
      <c r="C48" s="13" t="s">
        <v>131</v>
      </c>
      <c r="D48" s="13" t="s">
        <v>28</v>
      </c>
      <c r="E48" s="12" t="n">
        <v>3</v>
      </c>
      <c r="F48" s="12"/>
      <c r="G48" s="12" t="s">
        <v>39</v>
      </c>
      <c r="H48" s="14" t="n">
        <v>3</v>
      </c>
      <c r="I48" s="12" t="s">
        <v>44</v>
      </c>
      <c r="J48" s="13" t="s">
        <v>132</v>
      </c>
    </row>
    <row r="49" customFormat="false" ht="16.5" hidden="false" customHeight="true" outlineLevel="0" collapsed="false">
      <c r="A49" s="12" t="n">
        <v>1</v>
      </c>
      <c r="B49" s="13" t="s">
        <v>20</v>
      </c>
      <c r="C49" s="13" t="s">
        <v>133</v>
      </c>
      <c r="D49" s="13" t="s">
        <v>28</v>
      </c>
      <c r="E49" s="12" t="n">
        <v>3</v>
      </c>
      <c r="F49" s="12" t="s">
        <v>39</v>
      </c>
      <c r="G49" s="12" t="s">
        <v>40</v>
      </c>
      <c r="H49" s="14" t="n">
        <v>1</v>
      </c>
      <c r="I49" s="12" t="s">
        <v>44</v>
      </c>
      <c r="J49" s="13" t="s">
        <v>134</v>
      </c>
    </row>
    <row r="50" customFormat="false" ht="16.5" hidden="false" customHeight="true" outlineLevel="0" collapsed="false">
      <c r="A50" s="12" t="n">
        <v>1</v>
      </c>
      <c r="B50" s="13" t="s">
        <v>16</v>
      </c>
      <c r="C50" s="13" t="s">
        <v>135</v>
      </c>
      <c r="D50" s="13" t="s">
        <v>28</v>
      </c>
      <c r="E50" s="12" t="n">
        <v>5</v>
      </c>
      <c r="F50" s="12"/>
      <c r="G50" s="12" t="s">
        <v>39</v>
      </c>
      <c r="H50" s="14" t="n">
        <v>20</v>
      </c>
      <c r="I50" s="12" t="s">
        <v>44</v>
      </c>
      <c r="J50" s="13" t="s">
        <v>136</v>
      </c>
    </row>
    <row r="51" customFormat="false" ht="16.5" hidden="false" customHeight="true" outlineLevel="0" collapsed="false">
      <c r="A51" s="12" t="n">
        <v>1</v>
      </c>
      <c r="B51" s="13" t="s">
        <v>21</v>
      </c>
      <c r="C51" s="13" t="s">
        <v>137</v>
      </c>
      <c r="D51" s="13" t="s">
        <v>28</v>
      </c>
      <c r="E51" s="12" t="n">
        <v>4</v>
      </c>
      <c r="F51" s="12" t="s">
        <v>39</v>
      </c>
      <c r="G51" s="12" t="s">
        <v>40</v>
      </c>
      <c r="H51" s="14" t="n">
        <v>3</v>
      </c>
      <c r="I51" s="12" t="s">
        <v>44</v>
      </c>
      <c r="J51" s="13" t="s">
        <v>138</v>
      </c>
    </row>
    <row r="52" customFormat="false" ht="16.5" hidden="false" customHeight="true" outlineLevel="0" collapsed="false">
      <c r="A52" s="12" t="n">
        <v>1</v>
      </c>
      <c r="B52" s="13" t="s">
        <v>20</v>
      </c>
      <c r="C52" s="13" t="s">
        <v>139</v>
      </c>
      <c r="D52" s="13" t="s">
        <v>25</v>
      </c>
      <c r="E52" s="12" t="n">
        <v>2</v>
      </c>
      <c r="F52" s="12"/>
      <c r="G52" s="12" t="s">
        <v>39</v>
      </c>
      <c r="H52" s="14" t="n">
        <v>6</v>
      </c>
      <c r="I52" s="12" t="s">
        <v>44</v>
      </c>
      <c r="J52" s="13" t="s">
        <v>140</v>
      </c>
    </row>
    <row r="53" customFormat="false" ht="16.5" hidden="false" customHeight="true" outlineLevel="0" collapsed="false">
      <c r="A53" s="12" t="n">
        <v>1</v>
      </c>
      <c r="B53" s="13" t="s">
        <v>20</v>
      </c>
      <c r="C53" s="13" t="s">
        <v>141</v>
      </c>
      <c r="D53" s="13" t="s">
        <v>25</v>
      </c>
      <c r="E53" s="12" t="n">
        <v>3</v>
      </c>
      <c r="F53" s="12"/>
      <c r="G53" s="12" t="s">
        <v>40</v>
      </c>
      <c r="H53" s="14" t="n">
        <v>3</v>
      </c>
      <c r="I53" s="12" t="s">
        <v>44</v>
      </c>
      <c r="J53" s="13" t="s">
        <v>142</v>
      </c>
    </row>
    <row r="54" customFormat="false" ht="16.5" hidden="false" customHeight="true" outlineLevel="0" collapsed="false">
      <c r="A54" s="12" t="n">
        <v>1</v>
      </c>
      <c r="B54" s="13" t="s">
        <v>20</v>
      </c>
      <c r="C54" s="13" t="s">
        <v>143</v>
      </c>
      <c r="D54" s="13" t="s">
        <v>25</v>
      </c>
      <c r="E54" s="12" t="n">
        <v>3</v>
      </c>
      <c r="F54" s="12"/>
      <c r="G54" s="12" t="s">
        <v>40</v>
      </c>
      <c r="H54" s="14" t="n">
        <v>1</v>
      </c>
      <c r="I54" s="12" t="s">
        <v>44</v>
      </c>
      <c r="J54" s="13" t="s">
        <v>144</v>
      </c>
    </row>
    <row r="55" customFormat="false" ht="16.5" hidden="false" customHeight="true" outlineLevel="0" collapsed="false">
      <c r="A55" s="12" t="n">
        <v>1</v>
      </c>
      <c r="B55" s="13" t="s">
        <v>20</v>
      </c>
      <c r="C55" s="13" t="s">
        <v>145</v>
      </c>
      <c r="D55" s="13" t="s">
        <v>25</v>
      </c>
      <c r="E55" s="12" t="n">
        <v>2</v>
      </c>
      <c r="F55" s="12"/>
      <c r="G55" s="12" t="s">
        <v>40</v>
      </c>
      <c r="H55" s="14" t="n">
        <v>4</v>
      </c>
      <c r="I55" s="12" t="s">
        <v>44</v>
      </c>
      <c r="J55" s="13" t="s">
        <v>146</v>
      </c>
    </row>
    <row r="56" customFormat="false" ht="16.5" hidden="false" customHeight="true" outlineLevel="0" collapsed="false">
      <c r="A56" s="12" t="n">
        <v>1</v>
      </c>
      <c r="B56" s="13" t="s">
        <v>20</v>
      </c>
      <c r="C56" s="13" t="s">
        <v>147</v>
      </c>
      <c r="D56" s="13" t="s">
        <v>25</v>
      </c>
      <c r="E56" s="12" t="n">
        <v>2</v>
      </c>
      <c r="F56" s="12" t="s">
        <v>39</v>
      </c>
      <c r="G56" s="12" t="s">
        <v>40</v>
      </c>
      <c r="H56" s="14" t="n">
        <v>2</v>
      </c>
      <c r="I56" s="12" t="s">
        <v>44</v>
      </c>
      <c r="J56" s="13" t="s">
        <v>148</v>
      </c>
    </row>
    <row r="57" customFormat="false" ht="16.5" hidden="false" customHeight="true" outlineLevel="0" collapsed="false">
      <c r="A57" s="12" t="n">
        <v>1</v>
      </c>
      <c r="B57" s="13" t="s">
        <v>21</v>
      </c>
      <c r="C57" s="13" t="s">
        <v>149</v>
      </c>
      <c r="D57" s="13" t="s">
        <v>25</v>
      </c>
      <c r="E57" s="12" t="n">
        <v>2</v>
      </c>
      <c r="F57" s="12"/>
      <c r="G57" s="12" t="s">
        <v>40</v>
      </c>
      <c r="H57" s="14" t="n">
        <v>2</v>
      </c>
      <c r="I57" s="12" t="s">
        <v>44</v>
      </c>
      <c r="J57" s="13" t="s">
        <v>150</v>
      </c>
    </row>
    <row r="58" customFormat="false" ht="16.5" hidden="false" customHeight="true" outlineLevel="0" collapsed="false">
      <c r="A58" s="12" t="n">
        <v>1</v>
      </c>
      <c r="B58" s="13" t="s">
        <v>21</v>
      </c>
      <c r="C58" s="13" t="s">
        <v>151</v>
      </c>
      <c r="D58" s="13" t="s">
        <v>25</v>
      </c>
      <c r="E58" s="12" t="n">
        <v>1</v>
      </c>
      <c r="F58" s="12"/>
      <c r="G58" s="12" t="s">
        <v>40</v>
      </c>
      <c r="H58" s="14" t="n">
        <v>1</v>
      </c>
      <c r="I58" s="12" t="s">
        <v>44</v>
      </c>
      <c r="J58" s="13" t="s">
        <v>152</v>
      </c>
    </row>
    <row r="59" customFormat="false" ht="16.5" hidden="false" customHeight="true" outlineLevel="0" collapsed="false">
      <c r="A59" s="12" t="n">
        <v>1</v>
      </c>
      <c r="B59" s="13" t="s">
        <v>23</v>
      </c>
      <c r="C59" s="13" t="s">
        <v>153</v>
      </c>
      <c r="D59" s="13" t="s">
        <v>154</v>
      </c>
      <c r="E59" s="12" t="n">
        <v>0</v>
      </c>
      <c r="F59" s="12"/>
      <c r="G59" s="12" t="s">
        <v>40</v>
      </c>
      <c r="H59" s="14" t="n">
        <v>1</v>
      </c>
      <c r="I59" s="12" t="s">
        <v>44</v>
      </c>
      <c r="J59" s="13" t="s">
        <v>155</v>
      </c>
    </row>
    <row r="60" customFormat="false" ht="16.5" hidden="false" customHeight="true" outlineLevel="0" collapsed="false">
      <c r="A60" s="12" t="n">
        <v>1</v>
      </c>
      <c r="B60" s="13" t="s">
        <v>23</v>
      </c>
      <c r="C60" s="13" t="s">
        <v>156</v>
      </c>
      <c r="D60" s="13" t="s">
        <v>154</v>
      </c>
      <c r="E60" s="12" t="n">
        <v>0</v>
      </c>
      <c r="F60" s="12"/>
      <c r="G60" s="12" t="s">
        <v>40</v>
      </c>
      <c r="H60" s="14" t="n">
        <v>5</v>
      </c>
      <c r="I60" s="12" t="s">
        <v>44</v>
      </c>
      <c r="J60" s="13" t="s">
        <v>157</v>
      </c>
    </row>
    <row r="61" customFormat="false" ht="16.5" hidden="false" customHeight="true" outlineLevel="0" collapsed="false">
      <c r="A61" s="12" t="n">
        <v>1</v>
      </c>
      <c r="B61" s="13" t="s">
        <v>23</v>
      </c>
      <c r="C61" s="13" t="s">
        <v>158</v>
      </c>
      <c r="D61" s="13" t="s">
        <v>154</v>
      </c>
      <c r="E61" s="12" t="n">
        <v>0</v>
      </c>
      <c r="F61" s="12"/>
      <c r="G61" s="12" t="s">
        <v>40</v>
      </c>
      <c r="H61" s="14" t="n">
        <v>40</v>
      </c>
      <c r="I61" s="12" t="s">
        <v>44</v>
      </c>
      <c r="J61" s="13"/>
    </row>
    <row r="62" customFormat="false" ht="16.5" hidden="false" customHeight="true" outlineLevel="0" collapsed="false">
      <c r="A62" s="12" t="n">
        <v>1</v>
      </c>
      <c r="B62" s="13" t="s">
        <v>23</v>
      </c>
      <c r="C62" s="13" t="s">
        <v>159</v>
      </c>
      <c r="D62" s="13" t="s">
        <v>154</v>
      </c>
      <c r="E62" s="12" t="n">
        <v>0</v>
      </c>
      <c r="F62" s="12"/>
      <c r="G62" s="12" t="s">
        <v>40</v>
      </c>
      <c r="H62" s="14" t="n">
        <v>1</v>
      </c>
      <c r="I62" s="12" t="s">
        <v>44</v>
      </c>
      <c r="J62" s="13" t="s">
        <v>160</v>
      </c>
    </row>
    <row r="63" customFormat="false" ht="16.5" hidden="false" customHeight="true" outlineLevel="0" collapsed="false">
      <c r="A63" s="12" t="n">
        <v>1</v>
      </c>
      <c r="B63" s="13" t="s">
        <v>23</v>
      </c>
      <c r="C63" s="13" t="s">
        <v>161</v>
      </c>
      <c r="D63" s="13" t="s">
        <v>154</v>
      </c>
      <c r="E63" s="12" t="n">
        <v>0</v>
      </c>
      <c r="F63" s="12"/>
      <c r="G63" s="12" t="s">
        <v>40</v>
      </c>
      <c r="H63" s="14" t="n">
        <v>5</v>
      </c>
      <c r="I63" s="12" t="s">
        <v>44</v>
      </c>
      <c r="J63" s="13" t="s">
        <v>162</v>
      </c>
    </row>
    <row r="64" customFormat="false" ht="16.5" hidden="false" customHeight="true" outlineLevel="0" collapsed="false">
      <c r="A64" s="12" t="n">
        <v>1</v>
      </c>
      <c r="B64" s="13" t="s">
        <v>23</v>
      </c>
      <c r="C64" s="13" t="s">
        <v>163</v>
      </c>
      <c r="D64" s="13" t="s">
        <v>154</v>
      </c>
      <c r="E64" s="12" t="n">
        <v>0</v>
      </c>
      <c r="F64" s="12" t="s">
        <v>39</v>
      </c>
      <c r="G64" s="12" t="s">
        <v>40</v>
      </c>
      <c r="H64" s="14" t="n">
        <v>1</v>
      </c>
      <c r="I64" s="12" t="s">
        <v>44</v>
      </c>
      <c r="J64" s="13" t="s">
        <v>164</v>
      </c>
    </row>
    <row r="65" customFormat="false" ht="16.5" hidden="false" customHeight="true" outlineLevel="0" collapsed="false">
      <c r="A65" s="12" t="n">
        <v>1</v>
      </c>
      <c r="B65" s="13" t="s">
        <v>23</v>
      </c>
      <c r="C65" s="13" t="s">
        <v>165</v>
      </c>
      <c r="D65" s="13" t="s">
        <v>154</v>
      </c>
      <c r="E65" s="12" t="n">
        <v>0</v>
      </c>
      <c r="F65" s="12" t="s">
        <v>39</v>
      </c>
      <c r="G65" s="12" t="s">
        <v>40</v>
      </c>
      <c r="H65" s="14" t="n">
        <v>1</v>
      </c>
      <c r="I65" s="12" t="s">
        <v>44</v>
      </c>
      <c r="J65" s="13" t="s">
        <v>166</v>
      </c>
    </row>
    <row r="66" customFormat="false" ht="16.5" hidden="false" customHeight="true" outlineLevel="0" collapsed="false">
      <c r="A66" s="12" t="n">
        <v>1</v>
      </c>
      <c r="B66" s="13" t="s">
        <v>23</v>
      </c>
      <c r="C66" s="13" t="s">
        <v>167</v>
      </c>
      <c r="D66" s="13" t="s">
        <v>154</v>
      </c>
      <c r="E66" s="12" t="n">
        <v>0</v>
      </c>
      <c r="F66" s="12"/>
      <c r="G66" s="12" t="s">
        <v>40</v>
      </c>
      <c r="H66" s="14" t="n">
        <v>3</v>
      </c>
      <c r="I66" s="12" t="s">
        <v>44</v>
      </c>
      <c r="J66" s="13" t="s">
        <v>168</v>
      </c>
    </row>
    <row r="67" customFormat="false" ht="16.5" hidden="false" customHeight="true" outlineLevel="0" collapsed="false">
      <c r="A67" s="12" t="n">
        <v>1</v>
      </c>
      <c r="B67" s="13" t="s">
        <v>23</v>
      </c>
      <c r="C67" s="13" t="s">
        <v>169</v>
      </c>
      <c r="D67" s="13" t="s">
        <v>154</v>
      </c>
      <c r="E67" s="12" t="n">
        <v>0</v>
      </c>
      <c r="F67" s="12" t="s">
        <v>39</v>
      </c>
      <c r="G67" s="12" t="s">
        <v>40</v>
      </c>
      <c r="H67" s="14" t="n">
        <v>5</v>
      </c>
      <c r="I67" s="12" t="s">
        <v>44</v>
      </c>
      <c r="J67" s="13" t="s">
        <v>170</v>
      </c>
    </row>
    <row r="68" customFormat="false" ht="16.5" hidden="false" customHeight="true" outlineLevel="0" collapsed="false">
      <c r="A68" s="12" t="n">
        <v>7</v>
      </c>
      <c r="B68" s="13" t="s">
        <v>23</v>
      </c>
      <c r="C68" s="13" t="s">
        <v>171</v>
      </c>
      <c r="D68" s="13" t="s">
        <v>154</v>
      </c>
      <c r="E68" s="12" t="n">
        <v>0</v>
      </c>
      <c r="F68" s="12"/>
      <c r="G68" s="12" t="s">
        <v>40</v>
      </c>
      <c r="H68" s="14" t="n">
        <v>0.1</v>
      </c>
      <c r="I68" s="12" t="s">
        <v>44</v>
      </c>
      <c r="J68" s="13" t="s">
        <v>172</v>
      </c>
    </row>
    <row r="69" customFormat="false" ht="16.5" hidden="false" customHeight="true" outlineLevel="0" collapsed="false">
      <c r="A69" s="12" t="n">
        <v>1</v>
      </c>
      <c r="B69" s="13" t="s">
        <v>23</v>
      </c>
      <c r="C69" s="13" t="s">
        <v>173</v>
      </c>
      <c r="D69" s="13" t="s">
        <v>154</v>
      </c>
      <c r="E69" s="12" t="n">
        <v>0</v>
      </c>
      <c r="F69" s="12"/>
      <c r="G69" s="12" t="s">
        <v>40</v>
      </c>
      <c r="H69" s="14" t="n">
        <v>1</v>
      </c>
      <c r="I69" s="12" t="s">
        <v>44</v>
      </c>
      <c r="J69" s="13" t="s">
        <v>174</v>
      </c>
    </row>
    <row r="70" customFormat="false" ht="16.5" hidden="false" customHeight="true" outlineLevel="0" collapsed="false">
      <c r="A70" s="12" t="n">
        <v>1</v>
      </c>
      <c r="B70" s="13" t="s">
        <v>23</v>
      </c>
      <c r="C70" s="13" t="s">
        <v>175</v>
      </c>
      <c r="D70" s="13" t="s">
        <v>154</v>
      </c>
      <c r="E70" s="12" t="n">
        <v>0</v>
      </c>
      <c r="F70" s="12"/>
      <c r="G70" s="12" t="s">
        <v>40</v>
      </c>
      <c r="H70" s="14" t="n">
        <v>1</v>
      </c>
      <c r="I70" s="12" t="s">
        <v>44</v>
      </c>
      <c r="J70" s="13" t="s">
        <v>176</v>
      </c>
    </row>
    <row r="71" customFormat="false" ht="16.5" hidden="false" customHeight="true" outlineLevel="0" collapsed="false">
      <c r="A71" s="12" t="n">
        <v>1</v>
      </c>
      <c r="B71" s="13" t="s">
        <v>23</v>
      </c>
      <c r="C71" s="13" t="s">
        <v>177</v>
      </c>
      <c r="D71" s="13" t="s">
        <v>154</v>
      </c>
      <c r="E71" s="12" t="n">
        <v>0</v>
      </c>
      <c r="F71" s="12"/>
      <c r="G71" s="12" t="s">
        <v>40</v>
      </c>
      <c r="H71" s="14" t="n">
        <v>3</v>
      </c>
      <c r="I71" s="12" t="s">
        <v>44</v>
      </c>
      <c r="J71" s="13" t="s">
        <v>178</v>
      </c>
    </row>
    <row r="72" customFormat="false" ht="16.5" hidden="false" customHeight="true" outlineLevel="0" collapsed="false">
      <c r="A72" s="12" t="n">
        <v>1</v>
      </c>
      <c r="B72" s="13" t="s">
        <v>23</v>
      </c>
      <c r="C72" s="13" t="s">
        <v>179</v>
      </c>
      <c r="D72" s="13" t="s">
        <v>154</v>
      </c>
      <c r="E72" s="12" t="n">
        <v>0</v>
      </c>
      <c r="F72" s="12"/>
      <c r="G72" s="12" t="s">
        <v>40</v>
      </c>
      <c r="H72" s="14" t="n">
        <v>1</v>
      </c>
      <c r="I72" s="12" t="s">
        <v>44</v>
      </c>
      <c r="J72" s="13" t="s">
        <v>180</v>
      </c>
    </row>
    <row r="73" customFormat="false" ht="16.5" hidden="false" customHeight="true" outlineLevel="0" collapsed="false">
      <c r="A73" s="12" t="n">
        <v>1</v>
      </c>
      <c r="B73" s="13" t="s">
        <v>23</v>
      </c>
      <c r="C73" s="13" t="s">
        <v>181</v>
      </c>
      <c r="D73" s="13" t="s">
        <v>154</v>
      </c>
      <c r="E73" s="12" t="n">
        <v>0</v>
      </c>
      <c r="F73" s="12"/>
      <c r="G73" s="12" t="s">
        <v>40</v>
      </c>
      <c r="H73" s="14" t="n">
        <v>5</v>
      </c>
      <c r="I73" s="12" t="s">
        <v>44</v>
      </c>
      <c r="J73" s="13" t="s">
        <v>182</v>
      </c>
    </row>
    <row r="74" customFormat="false" ht="16.5" hidden="false" customHeight="true" outlineLevel="0" collapsed="false">
      <c r="A74" s="12" t="n">
        <v>1</v>
      </c>
      <c r="B74" s="13" t="s">
        <v>23</v>
      </c>
      <c r="C74" s="13" t="s">
        <v>183</v>
      </c>
      <c r="D74" s="13" t="s">
        <v>154</v>
      </c>
      <c r="E74" s="12" t="n">
        <v>0</v>
      </c>
      <c r="F74" s="12"/>
      <c r="G74" s="12" t="s">
        <v>40</v>
      </c>
      <c r="H74" s="14" t="n">
        <v>1</v>
      </c>
      <c r="I74" s="12" t="s">
        <v>44</v>
      </c>
      <c r="J74" s="13" t="s">
        <v>184</v>
      </c>
    </row>
    <row r="75" customFormat="false" ht="16.5" hidden="false" customHeight="true" outlineLevel="0" collapsed="false">
      <c r="A75" s="12" t="n">
        <v>1</v>
      </c>
      <c r="B75" s="13" t="s">
        <v>23</v>
      </c>
      <c r="C75" s="13" t="s">
        <v>185</v>
      </c>
      <c r="D75" s="13" t="s">
        <v>154</v>
      </c>
      <c r="E75" s="12" t="n">
        <v>0</v>
      </c>
      <c r="F75" s="12"/>
      <c r="G75" s="12" t="s">
        <v>40</v>
      </c>
      <c r="H75" s="14" t="n">
        <v>10</v>
      </c>
      <c r="I75" s="12" t="s">
        <v>44</v>
      </c>
      <c r="J75" s="13" t="s">
        <v>186</v>
      </c>
    </row>
    <row r="76" customFormat="false" ht="16.5" hidden="false" customHeight="true" outlineLevel="0" collapsed="false">
      <c r="A76" s="12" t="n">
        <v>6</v>
      </c>
      <c r="B76" s="13" t="s">
        <v>23</v>
      </c>
      <c r="C76" s="13" t="s">
        <v>187</v>
      </c>
      <c r="D76" s="13" t="s">
        <v>154</v>
      </c>
      <c r="E76" s="12" t="n">
        <v>0</v>
      </c>
      <c r="F76" s="12"/>
      <c r="G76" s="12" t="s">
        <v>40</v>
      </c>
      <c r="H76" s="14" t="n">
        <v>0.1</v>
      </c>
      <c r="I76" s="12" t="s">
        <v>44</v>
      </c>
      <c r="J76" s="13" t="s">
        <v>188</v>
      </c>
    </row>
    <row r="77" customFormat="false" ht="16.5" hidden="false" customHeight="true" outlineLevel="0" collapsed="false">
      <c r="A77" s="12" t="n">
        <v>1</v>
      </c>
      <c r="B77" s="13" t="s">
        <v>23</v>
      </c>
      <c r="C77" s="13" t="s">
        <v>189</v>
      </c>
      <c r="D77" s="13" t="s">
        <v>154</v>
      </c>
      <c r="E77" s="12" t="n">
        <v>0</v>
      </c>
      <c r="F77" s="12"/>
      <c r="G77" s="12" t="s">
        <v>40</v>
      </c>
      <c r="H77" s="14" t="n">
        <v>1</v>
      </c>
      <c r="I77" s="12" t="s">
        <v>44</v>
      </c>
      <c r="J77" s="13" t="s">
        <v>190</v>
      </c>
    </row>
    <row r="78" customFormat="false" ht="16.5" hidden="false" customHeight="true" outlineLevel="0" collapsed="false">
      <c r="A78" s="12" t="n">
        <v>1</v>
      </c>
      <c r="B78" s="13" t="s">
        <v>23</v>
      </c>
      <c r="C78" s="13" t="s">
        <v>191</v>
      </c>
      <c r="D78" s="13" t="s">
        <v>154</v>
      </c>
      <c r="E78" s="12" t="n">
        <v>0</v>
      </c>
      <c r="F78" s="12" t="s">
        <v>39</v>
      </c>
      <c r="G78" s="12" t="s">
        <v>40</v>
      </c>
      <c r="H78" s="14" t="n">
        <v>4</v>
      </c>
      <c r="I78" s="12" t="s">
        <v>44</v>
      </c>
      <c r="J78" s="13" t="s">
        <v>192</v>
      </c>
    </row>
    <row r="79" customFormat="false" ht="16.5" hidden="false" customHeight="true" outlineLevel="0" collapsed="false">
      <c r="A79" s="12" t="n">
        <v>1</v>
      </c>
      <c r="B79" s="13" t="s">
        <v>23</v>
      </c>
      <c r="C79" s="13" t="s">
        <v>193</v>
      </c>
      <c r="D79" s="13" t="s">
        <v>154</v>
      </c>
      <c r="E79" s="12" t="n">
        <v>0</v>
      </c>
      <c r="F79" s="12" t="s">
        <v>39</v>
      </c>
      <c r="G79" s="12" t="s">
        <v>40</v>
      </c>
      <c r="H79" s="14" t="n">
        <v>2</v>
      </c>
      <c r="I79" s="12" t="s">
        <v>44</v>
      </c>
      <c r="J79" s="13" t="s">
        <v>194</v>
      </c>
    </row>
    <row r="80" customFormat="false" ht="16.5" hidden="false" customHeight="true" outlineLevel="0" collapsed="false">
      <c r="A80" s="12" t="n">
        <v>1</v>
      </c>
      <c r="B80" s="13" t="s">
        <v>23</v>
      </c>
      <c r="C80" s="13" t="s">
        <v>195</v>
      </c>
      <c r="D80" s="13" t="s">
        <v>154</v>
      </c>
      <c r="E80" s="12" t="n">
        <v>0</v>
      </c>
      <c r="F80" s="12"/>
      <c r="G80" s="12" t="s">
        <v>40</v>
      </c>
      <c r="H80" s="14" t="n">
        <v>1</v>
      </c>
      <c r="I80" s="12" t="s">
        <v>44</v>
      </c>
      <c r="J80" s="13" t="s">
        <v>196</v>
      </c>
    </row>
    <row r="81" customFormat="false" ht="16.5" hidden="false" customHeight="true" outlineLevel="0" collapsed="false">
      <c r="A81" s="12" t="n">
        <v>1</v>
      </c>
      <c r="B81" s="13" t="s">
        <v>23</v>
      </c>
      <c r="C81" s="13" t="s">
        <v>197</v>
      </c>
      <c r="D81" s="13" t="s">
        <v>154</v>
      </c>
      <c r="E81" s="12" t="n">
        <v>0</v>
      </c>
      <c r="F81" s="12"/>
      <c r="G81" s="12" t="s">
        <v>40</v>
      </c>
      <c r="H81" s="14" t="n">
        <v>1</v>
      </c>
      <c r="I81" s="12" t="s">
        <v>44</v>
      </c>
      <c r="J81" s="13" t="s">
        <v>198</v>
      </c>
    </row>
    <row r="82" customFormat="false" ht="16.5" hidden="false" customHeight="true" outlineLevel="0" collapsed="false">
      <c r="A82" s="12" t="n">
        <v>1</v>
      </c>
      <c r="B82" s="13" t="s">
        <v>20</v>
      </c>
      <c r="C82" s="13" t="s">
        <v>199</v>
      </c>
      <c r="D82" s="13" t="s">
        <v>26</v>
      </c>
      <c r="E82" s="12" t="n">
        <v>4</v>
      </c>
      <c r="F82" s="12"/>
      <c r="G82" s="12" t="s">
        <v>39</v>
      </c>
      <c r="H82" s="14" t="n">
        <v>2</v>
      </c>
      <c r="I82" s="12" t="s">
        <v>44</v>
      </c>
      <c r="J82" s="13" t="s">
        <v>200</v>
      </c>
    </row>
    <row r="83" customFormat="false" ht="16.5" hidden="false" customHeight="true" outlineLevel="0" collapsed="false">
      <c r="A83" s="12" t="n">
        <v>1</v>
      </c>
      <c r="B83" s="13" t="s">
        <v>16</v>
      </c>
      <c r="C83" s="13" t="s">
        <v>201</v>
      </c>
      <c r="D83" s="13" t="s">
        <v>26</v>
      </c>
      <c r="E83" s="12" t="n">
        <v>5</v>
      </c>
      <c r="F83" s="12"/>
      <c r="G83" s="12" t="s">
        <v>40</v>
      </c>
      <c r="H83" s="14" t="n">
        <v>3</v>
      </c>
      <c r="I83" s="12" t="s">
        <v>44</v>
      </c>
      <c r="J83" s="13" t="s">
        <v>202</v>
      </c>
    </row>
    <row r="84" customFormat="false" ht="16.5" hidden="false" customHeight="true" outlineLevel="0" collapsed="false">
      <c r="A84" s="12" t="n">
        <v>1</v>
      </c>
      <c r="B84" s="13" t="s">
        <v>20</v>
      </c>
      <c r="C84" s="13" t="s">
        <v>203</v>
      </c>
      <c r="D84" s="13" t="s">
        <v>26</v>
      </c>
      <c r="E84" s="12" t="n">
        <v>3</v>
      </c>
      <c r="F84" s="12"/>
      <c r="G84" s="12" t="s">
        <v>39</v>
      </c>
      <c r="H84" s="14" t="n">
        <v>20</v>
      </c>
      <c r="I84" s="12" t="s">
        <v>204</v>
      </c>
      <c r="J84" s="13" t="s">
        <v>205</v>
      </c>
    </row>
    <row r="85" customFormat="false" ht="16.5" hidden="false" customHeight="true" outlineLevel="0" collapsed="false">
      <c r="A85" s="12" t="n">
        <v>1</v>
      </c>
      <c r="B85" s="13" t="s">
        <v>16</v>
      </c>
      <c r="C85" s="13" t="s">
        <v>206</v>
      </c>
      <c r="D85" s="13" t="s">
        <v>27</v>
      </c>
      <c r="E85" s="12" t="n">
        <v>5</v>
      </c>
      <c r="F85" s="12"/>
      <c r="G85" s="12" t="s">
        <v>40</v>
      </c>
      <c r="H85" s="14" t="n">
        <v>8</v>
      </c>
      <c r="I85" s="12" t="s">
        <v>207</v>
      </c>
      <c r="J85" s="13" t="s">
        <v>208</v>
      </c>
    </row>
    <row r="86" customFormat="false" ht="16.5" hidden="false" customHeight="true" outlineLevel="0" collapsed="false">
      <c r="A86" s="12" t="n">
        <v>1</v>
      </c>
      <c r="B86" s="13" t="s">
        <v>19</v>
      </c>
      <c r="C86" s="13" t="s">
        <v>209</v>
      </c>
      <c r="D86" s="13" t="s">
        <v>27</v>
      </c>
      <c r="E86" s="12" t="n">
        <v>9</v>
      </c>
      <c r="F86" s="12"/>
      <c r="G86" s="12" t="s">
        <v>39</v>
      </c>
      <c r="H86" s="14" t="n">
        <v>28</v>
      </c>
      <c r="I86" s="12" t="s">
        <v>207</v>
      </c>
      <c r="J86" s="13" t="s">
        <v>210</v>
      </c>
    </row>
    <row r="87" customFormat="false" ht="16.5" hidden="false" customHeight="true" outlineLevel="0" collapsed="false">
      <c r="A87" s="12" t="n">
        <v>1</v>
      </c>
      <c r="B87" s="13" t="s">
        <v>16</v>
      </c>
      <c r="C87" s="13" t="s">
        <v>211</v>
      </c>
      <c r="D87" s="13" t="s">
        <v>24</v>
      </c>
      <c r="E87" s="12" t="n">
        <v>3</v>
      </c>
      <c r="F87" s="12" t="s">
        <v>39</v>
      </c>
      <c r="G87" s="12" t="s">
        <v>39</v>
      </c>
      <c r="H87" s="14" t="n">
        <v>4</v>
      </c>
      <c r="I87" s="12" t="s">
        <v>207</v>
      </c>
      <c r="J87" s="13" t="s">
        <v>212</v>
      </c>
    </row>
    <row r="88" customFormat="false" ht="16.5" hidden="false" customHeight="true" outlineLevel="0" collapsed="false">
      <c r="A88" s="12" t="n">
        <v>1</v>
      </c>
      <c r="B88" s="13" t="s">
        <v>22</v>
      </c>
      <c r="C88" s="13" t="s">
        <v>213</v>
      </c>
      <c r="D88" s="13" t="s">
        <v>24</v>
      </c>
      <c r="E88" s="12" t="n">
        <v>4</v>
      </c>
      <c r="F88" s="12" t="s">
        <v>39</v>
      </c>
      <c r="G88" s="12" t="s">
        <v>39</v>
      </c>
      <c r="H88" s="14" t="n">
        <v>10</v>
      </c>
      <c r="I88" s="12" t="s">
        <v>207</v>
      </c>
      <c r="J88" s="13" t="s">
        <v>214</v>
      </c>
    </row>
    <row r="89" customFormat="false" ht="16.5" hidden="false" customHeight="true" outlineLevel="0" collapsed="false">
      <c r="A89" s="15" t="n">
        <v>1</v>
      </c>
      <c r="B89" s="6" t="s">
        <v>15</v>
      </c>
      <c r="C89" s="6" t="s">
        <v>215</v>
      </c>
      <c r="D89" s="6" t="s">
        <v>28</v>
      </c>
      <c r="E89" s="15" t="n">
        <v>2</v>
      </c>
      <c r="F89" s="15" t="s">
        <v>39</v>
      </c>
      <c r="G89" s="15" t="s">
        <v>39</v>
      </c>
      <c r="H89" s="16" t="n">
        <v>18</v>
      </c>
      <c r="I89" s="12" t="s">
        <v>207</v>
      </c>
      <c r="J89" s="6" t="s">
        <v>216</v>
      </c>
    </row>
    <row r="90" customFormat="false" ht="16.5" hidden="false" customHeight="true" outlineLevel="0" collapsed="false">
      <c r="A90" s="15" t="n">
        <v>1</v>
      </c>
      <c r="B90" s="6" t="s">
        <v>17</v>
      </c>
      <c r="C90" s="6" t="s">
        <v>217</v>
      </c>
      <c r="D90" s="6" t="s">
        <v>28</v>
      </c>
      <c r="E90" s="15" t="n">
        <v>2</v>
      </c>
      <c r="F90" s="15"/>
      <c r="G90" s="15" t="s">
        <v>39</v>
      </c>
      <c r="H90" s="16" t="n">
        <v>15</v>
      </c>
      <c r="I90" s="12" t="s">
        <v>207</v>
      </c>
      <c r="J90" s="6" t="s">
        <v>218</v>
      </c>
    </row>
    <row r="91" customFormat="false" ht="16.5" hidden="false" customHeight="true" outlineLevel="0" collapsed="false">
      <c r="A91" s="15" t="n">
        <v>1</v>
      </c>
      <c r="B91" s="6" t="s">
        <v>23</v>
      </c>
      <c r="C91" s="6" t="s">
        <v>219</v>
      </c>
      <c r="D91" s="6" t="s">
        <v>154</v>
      </c>
      <c r="E91" s="15" t="n">
        <v>0</v>
      </c>
      <c r="F91" s="15" t="s">
        <v>39</v>
      </c>
      <c r="G91" s="15" t="s">
        <v>40</v>
      </c>
      <c r="H91" s="16" t="n">
        <v>3</v>
      </c>
      <c r="I91" s="12" t="s">
        <v>207</v>
      </c>
      <c r="J91" s="6" t="s">
        <v>220</v>
      </c>
    </row>
    <row r="92" customFormat="false" ht="16.5" hidden="false" customHeight="true" outlineLevel="0" collapsed="false">
      <c r="A92" s="15" t="n">
        <v>1</v>
      </c>
      <c r="B92" s="6" t="s">
        <v>23</v>
      </c>
      <c r="C92" s="6" t="s">
        <v>221</v>
      </c>
      <c r="D92" s="6" t="s">
        <v>154</v>
      </c>
      <c r="E92" s="15" t="n">
        <v>0</v>
      </c>
      <c r="F92" s="15"/>
      <c r="G92" s="15" t="s">
        <v>40</v>
      </c>
      <c r="H92" s="16" t="n">
        <v>1</v>
      </c>
      <c r="I92" s="12" t="s">
        <v>56</v>
      </c>
      <c r="J92" s="6" t="s">
        <v>222</v>
      </c>
    </row>
    <row r="93" customFormat="false" ht="16.5" hidden="false" customHeight="true" outlineLevel="0" collapsed="false">
      <c r="A93" s="15"/>
      <c r="B93" s="6"/>
      <c r="C93" s="6"/>
      <c r="D93" s="6"/>
      <c r="E93" s="15"/>
      <c r="F93" s="15"/>
      <c r="G93" s="15"/>
      <c r="H93" s="16"/>
      <c r="I93" s="15"/>
      <c r="J93" s="6"/>
    </row>
  </sheetData>
  <autoFilter ref="A3:J93">
    <sortState ref="A4:J93">
      <sortCondition ref="A4:A93" customList=""/>
    </sortState>
  </autoFilter>
  <printOptions headings="false" gridLines="false" gridLinesSet="true" horizontalCentered="false" verticalCentered="false"/>
  <pageMargins left="0.75" right="0.75" top="1" bottom="1" header="0.511805555555556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&amp;R&amp;"Aptos,Regular"&amp;1  UNCLASSIFIED - NON CLASSIFIÉ#_x005F_x000d_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2026-06-23T00:47:51Z</dcterms:created>
  <dc:creator>openpyxl</dc:creator>
  <dc:description/>
  <dc:language>en-US</dc:language>
  <cp:lastModifiedBy/>
  <dcterms:modified xsi:type="dcterms:W3CDTF">2026-09-03T03:31:12Z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