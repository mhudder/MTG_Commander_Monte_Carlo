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Dashboard" sheetId="1" state="visible" r:id="rId1"/>
    <sheet name="Decklist" sheetId="2" state="visible" r:id="rId2"/>
  </sheets>
  <definedNames>
    <definedName name="_xlnm._FilterDatabase" localSheetId="1" hidden="1">'Decklist'!$A$3:$J$93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8B0000"/>
      <sz val="18"/>
    </font>
    <font>
      <name val="Segoe UI"/>
      <charset val="1"/>
      <family val="0"/>
      <i val="1"/>
      <color rgb="FF555555"/>
      <sz val="12"/>
    </font>
    <font>
      <name val="Segoe UI"/>
      <charset val="1"/>
      <family val="0"/>
      <b val="1"/>
      <color rgb="FF8B0000"/>
      <sz val="14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b val="1"/>
      <sz val="11"/>
    </font>
    <font>
      <name val="Segoe UI"/>
      <charset val="1"/>
      <family val="0"/>
      <sz val="11"/>
    </font>
    <font>
      <name val="Segoe UI"/>
      <charset val="1"/>
      <family val="0"/>
      <b val="1"/>
      <color rgb="FF8B00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8B0000"/>
        <bgColor rgb="FF8000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8B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AB4744"/>
      <rgbColor rgb="FFFFFF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4BACC6"/>
      <rgbColor rgb="FF9BBB59"/>
      <rgbColor rgb="FFFFCC00"/>
      <rgbColor rgb="FFF79646"/>
      <rgbColor rgb="FFFF6600"/>
      <rgbColor rgb="FF725990"/>
      <rgbColor rgb="FFA99BBD"/>
      <rgbColor rgb="FF003366"/>
      <rgbColor rgb="FF4299B0"/>
      <rgbColor rgb="FF003300"/>
      <rgbColor rgb="FF333300"/>
      <rgbColor rgb="FF993300"/>
      <rgbColor rgb="FFC0504D"/>
      <rgbColor rgb="FF8064A2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lang="en-CA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Mana Curve (Spells)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Dashboard!$C$14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Dashboard!$B$15:$B$26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Dashboard!$C$15:$C$26</f>
              <numCache>
                <formatCode>General</formatCode>
                <ptCount val="12"/>
                <pt idx="0">
                  <v>3</v>
                </pt>
                <pt idx="1">
                  <v>21</v>
                </pt>
                <pt idx="2">
                  <v>20</v>
                </pt>
                <pt idx="3">
                  <v>8</v>
                </pt>
                <pt idx="4">
                  <v>7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56088305"/>
        <axId val="88519583"/>
      </barChart>
      <catAx>
        <axId val="5608830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lang="en-CA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Mana Value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8519583"/>
        <crosses val="autoZero"/>
        <auto val="1"/>
        <lblAlgn val="ctr"/>
        <lblOffset val="100"/>
        <noMultiLvlLbl val="0"/>
      </catAx>
      <valAx>
        <axId val="8851958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lang="en-CA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Number of Cards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608830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lang="en-CA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Deck Composition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Dashboard!$C$30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672a8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ab4744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8aa64f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72599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299b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dc853e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93a9ce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d09493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b8cd97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a99bbd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Dashboard!$B$31:$B$40</f>
              <strCache>
                <ptCount val="10"/>
                <pt idx="0">
                  <v>Commander</v>
                </pt>
                <pt idx="1">
                  <v>Token Makers</v>
                </pt>
                <pt idx="2">
                  <v>Token Payoffs</v>
                </pt>
                <pt idx="3">
                  <v>Aristocrats &amp; Drain</v>
                </pt>
                <pt idx="4">
                  <v>Sacrifice Outlets</v>
                </pt>
                <pt idx="5">
                  <v>Ramp &amp; Rocks</v>
                </pt>
                <pt idx="6">
                  <v>Removal &amp; Interaction</v>
                </pt>
                <pt idx="7">
                  <v>Card Advantage</v>
                </pt>
                <pt idx="8">
                  <v>Artifacts Matters</v>
                </pt>
                <pt idx="9">
                  <v>Lands</v>
                </pt>
              </strCache>
            </strRef>
          </cat>
          <val>
            <numRef>
              <f>Dashboard!$C$31:$C$40</f>
              <numCache>
                <formatCode>General</formatCode>
                <ptCount val="10"/>
                <pt idx="0">
                  <v>1</v>
                </pt>
                <pt idx="1">
                  <v>10</v>
                </pt>
                <pt idx="2">
                  <v>10</v>
                </pt>
                <pt idx="3">
                  <v>3</v>
                </pt>
                <pt idx="4">
                  <v>3</v>
                </pt>
                <pt idx="5">
                  <v>11</v>
                </pt>
                <pt idx="6">
                  <v>11</v>
                </pt>
                <pt idx="7">
                  <v>8</v>
                </pt>
                <pt idx="8">
                  <v>7</v>
                </pt>
                <pt idx="9">
                  <v>36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lang="en-CA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Deck Composition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Dashboard!$C$30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Dashboard!$B$43:$B$48</f>
              <strCache>
                <ptCount val="6"/>
                <pt idx="0">
                  <v>Creature</v>
                </pt>
                <pt idx="1">
                  <v>Instant</v>
                </pt>
                <pt idx="2">
                  <v>Sorcery</v>
                </pt>
                <pt idx="3">
                  <v>Artifact</v>
                </pt>
                <pt idx="4">
                  <v>Enchantment</v>
                </pt>
                <pt idx="5">
                  <v>Lands</v>
                </pt>
              </strCache>
            </strRef>
          </cat>
          <val>
            <numRef>
              <f>Dashboard!$C$43:$C$48</f>
              <numCache>
                <formatCode>General</formatCode>
                <ptCount val="6"/>
                <pt idx="0">
                  <v>36</v>
                </pt>
                <pt idx="1">
                  <v>7</v>
                </pt>
                <pt idx="2">
                  <v>3</v>
                </pt>
                <pt idx="3">
                  <v>7</v>
                </pt>
                <pt idx="4">
                  <v>10</v>
                </pt>
                <pt idx="5">
                  <v>36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4</col>
      <colOff>0</colOff>
      <row>4</row>
      <rowOff>0</rowOff>
    </from>
    <to>
      <col>13</col>
      <colOff>252720</colOff>
      <row>21</row>
      <rowOff>14760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21</row>
      <rowOff>95400</rowOff>
    </from>
    <to>
      <col>13</col>
      <colOff>252720</colOff>
      <row>38</row>
      <rowOff>157680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13</col>
      <colOff>371520</colOff>
      <row>21</row>
      <rowOff>85680</rowOff>
    </from>
    <to>
      <col>23</col>
      <colOff>12240</colOff>
      <row>38</row>
      <rowOff>147960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8.66796875" defaultRowHeight="14.25" zeroHeight="0" outlineLevelRow="0"/>
  <cols>
    <col width="11" customWidth="1" style="17" min="1" max="1"/>
    <col width="45" customWidth="1" style="17" min="2" max="2"/>
    <col width="11" customWidth="1" style="17" min="3" max="3"/>
  </cols>
  <sheetData>
    <row r="2" ht="26.25" customHeight="1" s="18">
      <c r="B2" s="19" t="inlineStr">
        <is>
          <t>Rendmaw, Creaking Nest</t>
        </is>
      </c>
    </row>
    <row r="3" ht="17.25" customHeight="1" s="18">
      <c r="B3" s="20" t="inlineStr">
        <is>
          <t>Commander Deck Dashboard &amp; Analytics — Tokens / Artifacts</t>
        </is>
      </c>
    </row>
    <row r="5" ht="20.25" customHeight="1" s="18">
      <c r="B5" s="21" t="inlineStr">
        <is>
          <t>Key Deck Metrics</t>
        </is>
      </c>
    </row>
    <row r="6" ht="16.5" customHeight="1" s="18">
      <c r="B6" s="22" t="inlineStr">
        <is>
          <t>Metric</t>
        </is>
      </c>
      <c r="C6" s="22" t="inlineStr">
        <is>
          <t>Value</t>
        </is>
      </c>
    </row>
    <row r="7" ht="16.5" customHeight="1" s="18">
      <c r="B7" s="23" t="inlineStr">
        <is>
          <t>Total Cards</t>
        </is>
      </c>
      <c r="C7" s="24">
        <f>SUM(Decklist!A4:A92)</f>
        <v/>
      </c>
    </row>
    <row r="8" ht="16.5" customHeight="1" s="18">
      <c r="B8" s="23" t="inlineStr">
        <is>
          <t>Total Deck Cost (USD)</t>
        </is>
      </c>
      <c r="C8" s="25">
        <f>SUMPRODUCT(Decklist!A4:A92, Decklist!H4:H92)</f>
        <v/>
      </c>
    </row>
    <row r="9" ht="16.5" customHeight="1" s="18">
      <c r="B9" s="23" t="inlineStr">
        <is>
          <t>Max Mana Value</t>
        </is>
      </c>
      <c r="C9" s="24">
        <f>MAX(Decklist!E4:E92)</f>
        <v/>
      </c>
    </row>
    <row r="10" ht="16.5" customHeight="1" s="18">
      <c r="B10" s="23" t="inlineStr">
        <is>
          <t>Avg Mana Value (Spells)</t>
        </is>
      </c>
      <c r="C10" s="26">
        <f>AVERAGEIF(Decklist!B4:B92, "&lt;&gt;Lands", Decklist!E4:E92)</f>
        <v/>
      </c>
    </row>
    <row r="13" ht="17.25" customHeight="1" s="18">
      <c r="B13" s="27" t="inlineStr">
        <is>
          <t>Mana Curve</t>
        </is>
      </c>
    </row>
    <row r="14" ht="16.5" customHeight="1" s="18">
      <c r="B14" s="28" t="inlineStr">
        <is>
          <t>Mana Value</t>
        </is>
      </c>
      <c r="C14" s="28" t="inlineStr">
        <is>
          <t>Count</t>
        </is>
      </c>
    </row>
    <row r="15" ht="16.5" customHeight="1" s="18">
      <c r="B15" s="24" t="n">
        <v>1</v>
      </c>
      <c r="C15" s="24">
        <f>SUMIFS(Decklist!A$4:A$92, Decklist!E$4:E$92, B15, Decklist!B$4:B$92, "&lt;&gt;Lands")</f>
        <v/>
      </c>
    </row>
    <row r="16" ht="16.5" customHeight="1" s="18">
      <c r="B16" s="24" t="n">
        <v>2</v>
      </c>
      <c r="C16" s="24">
        <f>SUMIFS(Decklist!A$4:A$92, Decklist!E$4:E$92, B16, Decklist!B$4:B$92, "&lt;&gt;Lands")</f>
        <v/>
      </c>
    </row>
    <row r="17" ht="16.5" customHeight="1" s="18">
      <c r="B17" s="24" t="n">
        <v>3</v>
      </c>
      <c r="C17" s="24">
        <f>SUMIFS(Decklist!A$4:A$92, Decklist!E$4:E$92, B17, Decklist!B$4:B$92, "&lt;&gt;Lands")</f>
        <v/>
      </c>
    </row>
    <row r="18" ht="16.5" customHeight="1" s="18">
      <c r="B18" s="24" t="n">
        <v>4</v>
      </c>
      <c r="C18" s="24">
        <f>SUMIFS(Decklist!A$4:A$92, Decklist!E$4:E$92, B18, Decklist!B$4:B$92, "&lt;&gt;Lands")</f>
        <v/>
      </c>
    </row>
    <row r="19" ht="16.5" customHeight="1" s="18">
      <c r="B19" s="24" t="n">
        <v>5</v>
      </c>
      <c r="C19" s="24">
        <f>SUMIFS(Decklist!A$4:A$92, Decklist!E$4:E$92, B19, Decklist!B$4:B$92, "&lt;&gt;Lands")</f>
        <v/>
      </c>
    </row>
    <row r="20" ht="16.5" customHeight="1" s="18">
      <c r="B20" s="24" t="n">
        <v>6</v>
      </c>
      <c r="C20" s="24">
        <f>SUMIFS(Decklist!A$4:A$92, Decklist!E$4:E$92, B20, Decklist!B$4:B$92, "&lt;&gt;Lands")</f>
        <v/>
      </c>
    </row>
    <row r="21" ht="16.5" customHeight="1" s="18">
      <c r="B21" s="24" t="n">
        <v>7</v>
      </c>
      <c r="C21" s="24">
        <f>SUMIFS(Decklist!A$4:A$92, Decklist!E$4:E$92, B21, Decklist!B$4:B$92, "&lt;&gt;Lands")</f>
        <v/>
      </c>
    </row>
    <row r="22" ht="16.5" customHeight="1" s="18">
      <c r="B22" s="24" t="n">
        <v>8</v>
      </c>
      <c r="C22" s="24">
        <f>SUMIFS(Decklist!A$4:A$92, Decklist!E$4:E$92, B22, Decklist!B$4:B$92, "&lt;&gt;Lands")</f>
        <v/>
      </c>
    </row>
    <row r="23" ht="16.5" customHeight="1" s="18">
      <c r="B23" s="24" t="n">
        <v>9</v>
      </c>
      <c r="C23" s="24">
        <f>SUMIFS(Decklist!A$4:A$92, Decklist!E$4:E$92, B23, Decklist!B$4:B$92, "&lt;&gt;Lands")</f>
        <v/>
      </c>
    </row>
    <row r="24" ht="16.5" customHeight="1" s="18">
      <c r="B24" s="24" t="n">
        <v>10</v>
      </c>
      <c r="C24" s="24">
        <f>SUMIFS(Decklist!A$4:A$92, Decklist!E$4:E$92, B24, Decklist!B$4:B$92, "&lt;&gt;Lands")</f>
        <v/>
      </c>
    </row>
    <row r="25" ht="16.5" customHeight="1" s="18">
      <c r="B25" s="24" t="n">
        <v>11</v>
      </c>
      <c r="C25" s="24">
        <f>SUMIFS(Decklist!A$4:A$92, Decklist!E$4:E$92, B25, Decklist!B$4:B$92, "&lt;&gt;Lands")</f>
        <v/>
      </c>
    </row>
    <row r="26" ht="16.5" customHeight="1" s="18">
      <c r="B26" s="24" t="n">
        <v>12</v>
      </c>
      <c r="C26" s="24">
        <f>SUMIFS(Decklist!A$4:A$92, Decklist!E$4:E$92, B26, Decklist!B$4:B$92, "&lt;&gt;Lands")</f>
        <v/>
      </c>
    </row>
    <row r="29" ht="17.25" customHeight="1" s="18">
      <c r="B29" s="27" t="inlineStr">
        <is>
          <t>Category Breakdown</t>
        </is>
      </c>
    </row>
    <row r="30" ht="16.5" customHeight="1" s="18">
      <c r="B30" s="28" t="inlineStr">
        <is>
          <t>Category</t>
        </is>
      </c>
      <c r="C30" s="28" t="inlineStr">
        <is>
          <t>Count</t>
        </is>
      </c>
    </row>
    <row r="31" ht="16.5" customHeight="1" s="18">
      <c r="B31" s="24" t="inlineStr">
        <is>
          <t>Commander</t>
        </is>
      </c>
      <c r="C31" s="24">
        <f>SUMIF(Decklist!B$4:B$92, B31, Decklist!A$4:A$92)</f>
        <v/>
      </c>
    </row>
    <row r="32" ht="16.5" customHeight="1" s="18">
      <c r="B32" s="24" t="inlineStr">
        <is>
          <t>Token Makers</t>
        </is>
      </c>
      <c r="C32" s="24">
        <f>SUMIF(Decklist!B$4:B$92, B32, Decklist!A$4:A$92)</f>
        <v/>
      </c>
    </row>
    <row r="33" ht="16.5" customHeight="1" s="18">
      <c r="B33" s="24" t="inlineStr">
        <is>
          <t>Token Payoffs</t>
        </is>
      </c>
      <c r="C33" s="24">
        <f>SUMIF(Decklist!B$4:B$92, B33, Decklist!A$4:A$92)</f>
        <v/>
      </c>
    </row>
    <row r="34" ht="16.5" customHeight="1" s="18">
      <c r="B34" s="24" t="inlineStr">
        <is>
          <t>Aristocrats &amp; Drain</t>
        </is>
      </c>
      <c r="C34" s="24">
        <f>SUMIF(Decklist!B$4:B$92, B34, Decklist!A$4:A$92)</f>
        <v/>
      </c>
    </row>
    <row r="35" ht="16.5" customHeight="1" s="18">
      <c r="B35" s="24" t="inlineStr">
        <is>
          <t>Sacrifice Outlets</t>
        </is>
      </c>
      <c r="C35" s="24">
        <f>SUMIF(Decklist!B$4:B$92, B35, Decklist!A$4:A$92)</f>
        <v/>
      </c>
    </row>
    <row r="36" ht="16.5" customHeight="1" s="18">
      <c r="B36" s="24" t="inlineStr">
        <is>
          <t>Ramp &amp; Rocks</t>
        </is>
      </c>
      <c r="C36" s="24">
        <f>SUMIF(Decklist!B$4:B$92, B36, Decklist!A$4:A$92)</f>
        <v/>
      </c>
    </row>
    <row r="37" ht="16.5" customHeight="1" s="18">
      <c r="B37" s="24" t="inlineStr">
        <is>
          <t>Removal &amp; Interaction</t>
        </is>
      </c>
      <c r="C37" s="24">
        <f>SUMIF(Decklist!B$4:B$92, B37, Decklist!A$4:A$92)</f>
        <v/>
      </c>
    </row>
    <row r="38" ht="16.5" customHeight="1" s="18">
      <c r="B38" s="24" t="inlineStr">
        <is>
          <t>Card Advantage</t>
        </is>
      </c>
      <c r="C38" s="24">
        <f>SUMIF(Decklist!B$4:B$92, B38, Decklist!A$4:A$92)</f>
        <v/>
      </c>
    </row>
    <row r="39" ht="16.5" customHeight="1" s="18">
      <c r="B39" s="24" t="inlineStr">
        <is>
          <t>Artifacts Matters</t>
        </is>
      </c>
      <c r="C39" s="24">
        <f>SUMIF(Decklist!B$4:B$92, B39, Decklist!A$4:A$92)</f>
        <v/>
      </c>
    </row>
    <row r="40" ht="15" customHeight="1" s="18">
      <c r="B40" s="24" t="inlineStr">
        <is>
          <t>Lands</t>
        </is>
      </c>
      <c r="C40" s="24">
        <f>SUMIF(Decklist!B$4:B$92, B40, Decklist!A$4:A$92)</f>
        <v/>
      </c>
    </row>
    <row r="41" ht="17.25" customHeight="1" s="18">
      <c r="B41" s="27" t="inlineStr">
        <is>
          <t>Category Breakdown</t>
        </is>
      </c>
    </row>
    <row r="42" ht="16.5" customHeight="1" s="18">
      <c r="B42" s="28" t="inlineStr">
        <is>
          <t>Category</t>
        </is>
      </c>
      <c r="C42" s="28" t="inlineStr">
        <is>
          <t>Count</t>
        </is>
      </c>
    </row>
    <row r="43" ht="16.5" customHeight="1" s="18">
      <c r="B43" s="24" t="inlineStr">
        <is>
          <t>Creature</t>
        </is>
      </c>
      <c r="C43" s="24">
        <f>SUMIF(Decklist!D$4:D$92, B43, Decklist!A$4:A$92)</f>
        <v/>
      </c>
    </row>
    <row r="44" ht="16.5" customHeight="1" s="18">
      <c r="B44" s="24" t="inlineStr">
        <is>
          <t>Instant</t>
        </is>
      </c>
      <c r="C44" s="24">
        <f>SUMIF(Decklist!D$4:D$92, B44, Decklist!A$4:A$92)</f>
        <v/>
      </c>
    </row>
    <row r="45" ht="16.5" customHeight="1" s="18">
      <c r="B45" s="24" t="inlineStr">
        <is>
          <t>Sorcery</t>
        </is>
      </c>
      <c r="C45" s="24">
        <f>SUMIF(Decklist!D$4:D$92, B45, Decklist!A$4:A$92)</f>
        <v/>
      </c>
    </row>
    <row r="46" ht="16.5" customHeight="1" s="18">
      <c r="B46" s="24" t="inlineStr">
        <is>
          <t>Artifact</t>
        </is>
      </c>
      <c r="C46" s="24">
        <f>SUMIF(Decklist!D$4:D$92, B46, Decklist!A$4:A$92)</f>
        <v/>
      </c>
    </row>
    <row r="47" ht="16.5" customHeight="1" s="18">
      <c r="B47" s="24" t="inlineStr">
        <is>
          <t>Enchantment</t>
        </is>
      </c>
      <c r="C47" s="24">
        <f>SUMIF(Decklist!D$4:D$92, B47, Decklist!A$4:A$92)</f>
        <v/>
      </c>
    </row>
    <row r="48" ht="16.5" customHeight="1" s="18">
      <c r="B48" s="24" t="inlineStr">
        <is>
          <t>Lands</t>
        </is>
      </c>
      <c r="C48" s="24">
        <f>SUMIF(Decklist!B$4:B$92, "Lands", Decklist!A$4:A$92)</f>
        <v/>
      </c>
    </row>
    <row r="49" ht="16.5" customHeight="1" s="18">
      <c r="B49" s="24" t="n"/>
      <c r="C49" s="24">
        <f>SUM(C43:C48)</f>
        <v/>
      </c>
    </row>
    <row r="50" ht="16.5" customHeight="1" s="18">
      <c r="B50" s="24" t="n"/>
      <c r="C50" s="24" t="n"/>
    </row>
    <row r="51" ht="16.5" customHeight="1" s="18">
      <c r="B51" s="24" t="n"/>
      <c r="C51" s="24" t="n"/>
    </row>
  </sheetData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&amp;R&amp;"Aptos,Regular"&amp;1  UNCLASSIFIED - NON CLASSIFIÉ#_x000d_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93"/>
  <sheetViews>
    <sheetView showFormulas="0" showGridLines="1" showRowColHeaders="1" showZeros="1" rightToLeft="0" tabSelected="1" showOutlineSymbols="1" defaultGridColor="1" view="normal" topLeftCell="A40" colorId="64" zoomScale="70" zoomScaleNormal="70" zoomScalePageLayoutView="100" workbookViewId="0">
      <selection pane="topLeft" activeCell="G57" activeCellId="0" sqref="G57"/>
    </sheetView>
  </sheetViews>
  <sheetFormatPr baseColWidth="8" defaultColWidth="8.66796875" defaultRowHeight="14.25" zeroHeight="0" outlineLevelRow="0"/>
  <cols>
    <col width="11" customWidth="1" style="17" min="1" max="1"/>
    <col width="27" customWidth="1" style="17" min="2" max="2"/>
    <col width="34" customWidth="1" style="17" min="3" max="3"/>
    <col width="14" customWidth="1" style="17" min="4" max="4"/>
    <col width="11" customWidth="1" style="17" min="5" max="8"/>
    <col width="22.88" customWidth="1" style="17" min="9" max="9"/>
    <col width="94" customWidth="1" style="17" min="10" max="10"/>
  </cols>
  <sheetData>
    <row r="1" ht="26.25" customHeight="1" s="18">
      <c r="A1" s="19" t="inlineStr">
        <is>
          <t>Rendmaw, Creaking Nest — Comprehensive Decklist (Tokens / Artifacts, v12)</t>
        </is>
      </c>
    </row>
    <row r="2"/>
    <row r="3" ht="33" customHeight="1" s="18">
      <c r="A3" s="29" t="inlineStr">
        <is>
          <t>Quantity</t>
        </is>
      </c>
      <c r="B3" s="29" t="inlineStr">
        <is>
          <t>Category</t>
        </is>
      </c>
      <c r="C3" s="29" t="inlineStr">
        <is>
          <t>Card Name</t>
        </is>
      </c>
      <c r="D3" s="29" t="inlineStr">
        <is>
          <t>Card Type</t>
        </is>
      </c>
      <c r="E3" s="29" t="inlineStr">
        <is>
          <t>Mana Value</t>
        </is>
      </c>
      <c r="F3" s="29" t="inlineStr">
        <is>
          <t>Rendmaw Trigger?</t>
        </is>
      </c>
      <c r="G3" s="29" t="inlineStr">
        <is>
          <t>Key Card?</t>
        </is>
      </c>
      <c r="H3" s="29" t="inlineStr">
        <is>
          <t>Est. Cost (USD)</t>
        </is>
      </c>
      <c r="I3" s="29" t="inlineStr">
        <is>
          <t>Collection Status</t>
        </is>
      </c>
      <c r="J3" s="29" t="inlineStr">
        <is>
          <t>Notes &amp; Strategy</t>
        </is>
      </c>
    </row>
    <row r="4" ht="16.5" customHeight="1" s="18">
      <c r="A4" s="30" t="n">
        <v>1</v>
      </c>
      <c r="B4" s="31" t="inlineStr">
        <is>
          <t>Ramp &amp; Rocks</t>
        </is>
      </c>
      <c r="C4" s="31" t="inlineStr">
        <is>
          <t>Copper Myr</t>
        </is>
      </c>
      <c r="D4" s="31" t="inlineStr">
        <is>
          <t>Creature</t>
        </is>
      </c>
      <c r="E4" s="30" t="n">
        <v>2</v>
      </c>
      <c r="F4" s="30" t="inlineStr">
        <is>
          <t>Yes</t>
        </is>
      </c>
      <c r="G4" s="30" t="inlineStr">
        <is>
          <t>No</t>
        </is>
      </c>
      <c r="H4" s="32" t="n">
        <v>1</v>
      </c>
      <c r="I4" s="30" t="inlineStr">
        <is>
          <t>Ordered</t>
        </is>
      </c>
      <c r="J4" s="31" t="inlineStr">
        <is>
          <t>Artifact Creature: Rendmaw trigger that taps for green.</t>
        </is>
      </c>
    </row>
    <row r="5" ht="16.5" customHeight="1" s="18">
      <c r="A5" s="30" t="n">
        <v>1</v>
      </c>
      <c r="B5" s="31" t="inlineStr">
        <is>
          <t>Card Advantage</t>
        </is>
      </c>
      <c r="C5" s="31" t="inlineStr">
        <is>
          <t>Pygmy Kavu</t>
        </is>
      </c>
      <c r="D5" s="31" t="inlineStr">
        <is>
          <t>Creature</t>
        </is>
      </c>
      <c r="E5" s="30" t="n">
        <v>4</v>
      </c>
      <c r="F5" s="30" t="n"/>
      <c r="G5" s="30" t="inlineStr">
        <is>
          <t>No</t>
        </is>
      </c>
      <c r="H5" s="32" t="n">
        <v>1</v>
      </c>
      <c r="I5" s="30" t="inlineStr">
        <is>
          <t>Owned</t>
        </is>
      </c>
      <c r="J5" s="31" t="inlineStr">
        <is>
          <t>Requested include. NOTE: not a Rendmaw trigger (plain green creature); only draws off opponents' black creatures, so it is the softest card here — easy swap for another trigger later.</t>
        </is>
      </c>
    </row>
    <row r="6" ht="16.5" customHeight="1" s="18">
      <c r="A6" s="30" t="n">
        <v>1</v>
      </c>
      <c r="B6" s="31" t="inlineStr">
        <is>
          <t>Commander</t>
        </is>
      </c>
      <c r="C6" s="31" t="inlineStr">
        <is>
          <t>Rendmaw, Creaking Nest</t>
        </is>
      </c>
      <c r="D6" s="31" t="inlineStr">
        <is>
          <t>Creature</t>
        </is>
      </c>
      <c r="E6" s="30" t="n">
        <v>5</v>
      </c>
      <c r="F6" s="30" t="inlineStr">
        <is>
          <t>Yes</t>
        </is>
      </c>
      <c r="G6" s="30" t="inlineStr">
        <is>
          <t>Yes</t>
        </is>
      </c>
      <c r="H6" s="32" t="n">
        <v>2</v>
      </c>
      <c r="I6" s="30" t="inlineStr">
        <is>
          <t>Owned</t>
        </is>
      </c>
      <c r="J6" s="31" t="inlineStr">
        <is>
          <t>Artifact Creature 5/5, menace &amp; reach. On ETB and whenever you play a card with 2+ card types, each player makes a goaded 2/2 flying Bird — your Birds must attack opponents, theirs cannot hit you.</t>
        </is>
      </c>
    </row>
    <row r="7" ht="16.5" customHeight="1" s="18">
      <c r="A7" s="30" t="n">
        <v>1</v>
      </c>
      <c r="B7" s="31" t="inlineStr">
        <is>
          <t>Ramp &amp; Rocks</t>
        </is>
      </c>
      <c r="C7" s="31" t="inlineStr">
        <is>
          <t>Arcane Signet</t>
        </is>
      </c>
      <c r="D7" s="31" t="inlineStr">
        <is>
          <t>Artifact</t>
        </is>
      </c>
      <c r="E7" s="30" t="n">
        <v>2</v>
      </c>
      <c r="F7" s="30" t="n"/>
      <c r="G7" s="30" t="inlineStr">
        <is>
          <t>No</t>
        </is>
      </c>
      <c r="H7" s="32" t="n">
        <v>1</v>
      </c>
      <c r="I7" s="30" t="inlineStr">
        <is>
          <t>Owned</t>
        </is>
      </c>
      <c r="J7" s="31" t="inlineStr">
        <is>
          <t>Two-mana rock that taps for either of your colors.</t>
        </is>
      </c>
    </row>
    <row r="8" ht="16.5" customHeight="1" s="18">
      <c r="A8" s="30" t="n">
        <v>1</v>
      </c>
      <c r="B8" s="31" t="inlineStr">
        <is>
          <t>Sacrifice Outlets</t>
        </is>
      </c>
      <c r="C8" s="31" t="inlineStr">
        <is>
          <t>Ashnod's Altar</t>
        </is>
      </c>
      <c r="D8" s="31" t="inlineStr">
        <is>
          <t>Artifact</t>
        </is>
      </c>
      <c r="E8" s="30" t="n">
        <v>3</v>
      </c>
      <c r="F8" s="30" t="n"/>
      <c r="G8" s="30" t="inlineStr">
        <is>
          <t>Yes</t>
        </is>
      </c>
      <c r="H8" s="32" t="n">
        <v>8</v>
      </c>
      <c r="I8" s="30" t="inlineStr">
        <is>
          <t>Owned</t>
        </is>
      </c>
      <c r="J8" s="31" t="inlineStr">
        <is>
          <t>Sacrifice any creature for two colorless — fuels explosive turns and combos with token engines.</t>
        </is>
      </c>
    </row>
    <row r="9" ht="16.5" customHeight="1" s="18">
      <c r="A9" s="30" t="n">
        <v>1</v>
      </c>
      <c r="B9" s="31" t="inlineStr">
        <is>
          <t>Ramp &amp; Rocks</t>
        </is>
      </c>
      <c r="C9" s="31" t="inlineStr">
        <is>
          <t>Golgari Signet</t>
        </is>
      </c>
      <c r="D9" s="31" t="inlineStr">
        <is>
          <t>Artifact</t>
        </is>
      </c>
      <c r="E9" s="30" t="n">
        <v>2</v>
      </c>
      <c r="F9" s="30" t="n"/>
      <c r="G9" s="30" t="inlineStr">
        <is>
          <t>No</t>
        </is>
      </c>
      <c r="H9" s="32" t="n">
        <v>2</v>
      </c>
      <c r="I9" s="30" t="inlineStr">
        <is>
          <t>Owned</t>
        </is>
      </c>
      <c r="J9" s="31" t="inlineStr">
        <is>
          <t>Ramp and fixing in one — filters mana into black and green.</t>
        </is>
      </c>
    </row>
    <row r="10" ht="16.5" customHeight="1" s="18">
      <c r="A10" s="30" t="n">
        <v>1</v>
      </c>
      <c r="B10" s="31" t="inlineStr">
        <is>
          <t>Token Payoffs</t>
        </is>
      </c>
      <c r="C10" s="31" t="inlineStr">
        <is>
          <t>Idol of Oblivion</t>
        </is>
      </c>
      <c r="D10" s="31" t="inlineStr">
        <is>
          <t>Artifact</t>
        </is>
      </c>
      <c r="E10" s="30" t="n">
        <v>2</v>
      </c>
      <c r="F10" s="30" t="n"/>
      <c r="G10" s="30" t="inlineStr">
        <is>
          <t>Yes</t>
        </is>
      </c>
      <c r="H10" s="32" t="n">
        <v>2</v>
      </c>
      <c r="I10" s="30" t="inlineStr">
        <is>
          <t>Owned</t>
        </is>
      </c>
      <c r="J10" s="31" t="inlineStr">
        <is>
          <t>Two-mana artifact: tap to draw a card any turn you made a token — nearly every turn here. Late game, sacrifice for a 10/10 Eldrazi. Replaces Pitiless Plunderer.</t>
        </is>
      </c>
    </row>
    <row r="11" ht="16.5" customHeight="1" s="18">
      <c r="A11" s="30" t="n">
        <v>1</v>
      </c>
      <c r="B11" s="31" t="inlineStr">
        <is>
          <t>Token Payoffs</t>
        </is>
      </c>
      <c r="C11" s="31" t="inlineStr">
        <is>
          <t>March of the World Ooze</t>
        </is>
      </c>
      <c r="D11" s="31" t="inlineStr">
        <is>
          <t>Enchantment</t>
        </is>
      </c>
      <c r="E11" s="30" t="n">
        <v>6</v>
      </c>
      <c r="F11" s="30" t="n"/>
      <c r="G11" s="30" t="inlineStr">
        <is>
          <t>Yes</t>
        </is>
      </c>
      <c r="H11" s="32" t="n">
        <v>2</v>
      </c>
      <c r="I11" s="30" t="inlineStr">
        <is>
          <t>Need</t>
        </is>
      </c>
      <c r="J11" s="31" t="inlineStr">
        <is>
          <t>Creatures you control have base power and toughness 6/6 and are Oozes in addition to their other types; whenever an opponent casts a spell on a turn that isn't theirs, create a 3/3 green Elephant. A perpetual Overrun that turns every 2/2 Bird into a 6/6. Replaces Skullclamp, which found a legal 1-toughness target on only 0.35 turns per game.</t>
        </is>
      </c>
    </row>
    <row r="12" ht="16.5" customHeight="1" s="18">
      <c r="A12" s="30" t="n">
        <v>1</v>
      </c>
      <c r="B12" s="31" t="inlineStr">
        <is>
          <t>Ramp &amp; Rocks</t>
        </is>
      </c>
      <c r="C12" s="31" t="inlineStr">
        <is>
          <t>Sol Ring</t>
        </is>
      </c>
      <c r="D12" s="31" t="inlineStr">
        <is>
          <t>Artifact</t>
        </is>
      </c>
      <c r="E12" s="30" t="n">
        <v>1</v>
      </c>
      <c r="F12" s="30" t="n"/>
      <c r="G12" s="30" t="inlineStr">
        <is>
          <t>Yes</t>
        </is>
      </c>
      <c r="H12" s="32" t="n">
        <v>2</v>
      </c>
      <c r="I12" s="30" t="inlineStr">
        <is>
          <t>Owned</t>
        </is>
      </c>
      <c r="J12" s="31" t="inlineStr">
        <is>
          <t>The best accelerant in the format — two colorless as early as turn one.</t>
        </is>
      </c>
    </row>
    <row r="13" ht="16.5" customHeight="1" s="18">
      <c r="A13" s="30" t="n">
        <v>1</v>
      </c>
      <c r="B13" s="31" t="inlineStr">
        <is>
          <t>Token Makers</t>
        </is>
      </c>
      <c r="C13" s="31" t="inlineStr">
        <is>
          <t>Arasta of the Endless Web</t>
        </is>
      </c>
      <c r="D13" s="31" t="inlineStr">
        <is>
          <t>Creature</t>
        </is>
      </c>
      <c r="E13" s="30" t="n">
        <v>4</v>
      </c>
      <c r="F13" s="30" t="inlineStr">
        <is>
          <t>Yes</t>
        </is>
      </c>
      <c r="G13" s="30" t="inlineStr">
        <is>
          <t>No</t>
        </is>
      </c>
      <c r="H13" s="32" t="n">
        <v>1</v>
      </c>
      <c r="I13" s="30" t="inlineStr">
        <is>
          <t>Owned</t>
        </is>
      </c>
      <c r="J13" s="31" t="inlineStr">
        <is>
          <t>Enchantment Creature: Rendmaw trigger. A 1/5 reach wall that spawns 1/2 Spiders whenever opponents cast instants/sorceries — fodder that punishes interaction.</t>
        </is>
      </c>
    </row>
    <row r="14" ht="16.5" customHeight="1" s="18">
      <c r="A14" s="30" t="n">
        <v>1</v>
      </c>
      <c r="B14" s="31" t="inlineStr">
        <is>
          <t>Aristocrats &amp; Drain</t>
        </is>
      </c>
      <c r="C14" s="31" t="inlineStr">
        <is>
          <t>Blood Artist</t>
        </is>
      </c>
      <c r="D14" s="31" t="inlineStr">
        <is>
          <t>Creature</t>
        </is>
      </c>
      <c r="E14" s="30" t="n">
        <v>2</v>
      </c>
      <c r="F14" s="30" t="n"/>
      <c r="G14" s="30" t="inlineStr">
        <is>
          <t>Yes</t>
        </is>
      </c>
      <c r="H14" s="32" t="n">
        <v>4</v>
      </c>
      <c r="I14" s="30" t="inlineStr">
        <is>
          <t>Owned</t>
        </is>
      </c>
      <c r="J14" s="31" t="inlineStr">
        <is>
          <t>Drains a life and gains you one whenever ANY creature dies — the core aristocrats payoff.</t>
        </is>
      </c>
    </row>
    <row r="15" ht="16.5" customHeight="1" s="18">
      <c r="A15" s="30" t="n">
        <v>1</v>
      </c>
      <c r="B15" s="31" t="inlineStr">
        <is>
          <t>Token Makers</t>
        </is>
      </c>
      <c r="C15" s="31" t="inlineStr">
        <is>
          <t>Burnished Hart</t>
        </is>
      </c>
      <c r="D15" s="31" t="inlineStr">
        <is>
          <t>Creature</t>
        </is>
      </c>
      <c r="E15" s="30" t="n">
        <v>3</v>
      </c>
      <c r="F15" s="30" t="inlineStr">
        <is>
          <t>Yes</t>
        </is>
      </c>
      <c r="G15" s="30" t="inlineStr">
        <is>
          <t>No</t>
        </is>
      </c>
      <c r="H15" s="32" t="n">
        <v>1</v>
      </c>
      <c r="I15" s="30" t="inlineStr">
        <is>
          <t>Owned</t>
        </is>
      </c>
      <c r="J15" s="31" t="inlineStr">
        <is>
          <t>Artifact Creature: triggers Rendmaw, ramps two basics, and sacrifices itself for later value.</t>
        </is>
      </c>
    </row>
    <row r="16" ht="16.5" customHeight="1" s="18">
      <c r="A16" s="30" t="n">
        <v>1</v>
      </c>
      <c r="B16" s="31" t="inlineStr">
        <is>
          <t>Sacrifice Outlets</t>
        </is>
      </c>
      <c r="C16" s="31" t="inlineStr">
        <is>
          <t>Dockside Chef</t>
        </is>
      </c>
      <c r="D16" s="31" t="inlineStr">
        <is>
          <t>Creature</t>
        </is>
      </c>
      <c r="E16" s="30" t="n">
        <v>1</v>
      </c>
      <c r="F16" s="30" t="inlineStr">
        <is>
          <t>Yes</t>
        </is>
      </c>
      <c r="G16" s="30" t="inlineStr">
        <is>
          <t>No</t>
        </is>
      </c>
      <c r="H16" s="32" t="n">
        <v>1</v>
      </c>
      <c r="I16" s="30" t="inlineStr">
        <is>
          <t>Owned</t>
        </is>
      </c>
      <c r="J16" s="31" t="inlineStr">
        <is>
          <t>Enchantment Creature: Rendmaw trigger plus a repeatable sacrifice-for-a-card outlet — turns your Birds into cards.</t>
        </is>
      </c>
    </row>
    <row r="17" ht="16.5" customHeight="1" s="18">
      <c r="A17" s="30" t="n">
        <v>1</v>
      </c>
      <c r="B17" s="31" t="inlineStr">
        <is>
          <t>Ramp &amp; Rocks</t>
        </is>
      </c>
      <c r="C17" s="31" t="inlineStr">
        <is>
          <t>Dryad of the Ilysian Grove</t>
        </is>
      </c>
      <c r="D17" s="31" t="inlineStr">
        <is>
          <t>Creature</t>
        </is>
      </c>
      <c r="E17" s="30" t="n">
        <v>3</v>
      </c>
      <c r="F17" s="30" t="inlineStr">
        <is>
          <t>Yes</t>
        </is>
      </c>
      <c r="G17" s="30" t="inlineStr">
        <is>
          <t>Yes</t>
        </is>
      </c>
      <c r="H17" s="32" t="n">
        <v>9</v>
      </c>
      <c r="I17" s="30" t="inlineStr">
        <is>
          <t>Owned</t>
        </is>
      </c>
      <c r="J17" s="31" t="inlineStr">
        <is>
          <t>Enchantment Creature (Rendmaw trigger), 2/4. Extra land drop each turn plus all your lands tap for any color — ramp, perfect fixing, and landfall on a body. Replaces Kodama's Reach.</t>
        </is>
      </c>
    </row>
    <row r="18" ht="16.5" customHeight="1" s="18">
      <c r="A18" s="30" t="n">
        <v>1</v>
      </c>
      <c r="B18" s="31" t="inlineStr">
        <is>
          <t>Aristocrats &amp; Drain</t>
        </is>
      </c>
      <c r="C18" s="31" t="inlineStr">
        <is>
          <t>Erebos, Bleak-Hearted</t>
        </is>
      </c>
      <c r="D18" s="31" t="inlineStr">
        <is>
          <t>Creature</t>
        </is>
      </c>
      <c r="E18" s="30" t="n">
        <v>4</v>
      </c>
      <c r="F18" s="30" t="inlineStr">
        <is>
          <t>Yes</t>
        </is>
      </c>
      <c r="G18" s="30" t="inlineStr">
        <is>
          <t>Yes</t>
        </is>
      </c>
      <c r="H18" s="32" t="n">
        <v>4</v>
      </c>
      <c r="I18" s="30" t="inlineStr">
        <is>
          <t>Owned</t>
        </is>
      </c>
      <c r="J18" s="31" t="inlineStr">
        <is>
          <t>Enchantment Creature: Rendmaw trigger, drains when your creatures die, and sacrifices them to draw.</t>
        </is>
      </c>
    </row>
    <row r="19" ht="16.5" customHeight="1" s="18">
      <c r="A19" s="30" t="n">
        <v>1</v>
      </c>
      <c r="B19" s="31" t="inlineStr">
        <is>
          <t>Token Makers</t>
        </is>
      </c>
      <c r="C19" s="31" t="inlineStr">
        <is>
          <t>Filigree Familiar</t>
        </is>
      </c>
      <c r="D19" s="31" t="inlineStr">
        <is>
          <t>Creature</t>
        </is>
      </c>
      <c r="E19" s="30" t="n">
        <v>3</v>
      </c>
      <c r="F19" s="30" t="inlineStr">
        <is>
          <t>Yes</t>
        </is>
      </c>
      <c r="G19" s="30" t="inlineStr">
        <is>
          <t>No</t>
        </is>
      </c>
      <c r="H19" s="32" t="n">
        <v>1</v>
      </c>
      <c r="I19" s="30" t="inlineStr">
        <is>
          <t>Owned</t>
        </is>
      </c>
      <c r="J19" s="31" t="inlineStr">
        <is>
          <t>Artifact Creature: Rendmaw trigger, gains life, and draws a card when sacrificed.</t>
        </is>
      </c>
    </row>
    <row r="20" ht="16.5" customHeight="1" s="18">
      <c r="A20" s="30" t="n">
        <v>1</v>
      </c>
      <c r="B20" s="31" t="inlineStr">
        <is>
          <t>Artifacts Matters</t>
        </is>
      </c>
      <c r="C20" s="31" t="inlineStr">
        <is>
          <t>Foundry Inspector</t>
        </is>
      </c>
      <c r="D20" s="31" t="inlineStr">
        <is>
          <t>Creature</t>
        </is>
      </c>
      <c r="E20" s="30" t="n">
        <v>3</v>
      </c>
      <c r="F20" s="30" t="inlineStr">
        <is>
          <t>Yes</t>
        </is>
      </c>
      <c r="G20" s="30" t="inlineStr">
        <is>
          <t>No</t>
        </is>
      </c>
      <c r="H20" s="32" t="n">
        <v>1</v>
      </c>
      <c r="I20" s="30" t="inlineStr">
        <is>
          <t>Owned</t>
        </is>
      </c>
      <c r="J20" s="31" t="inlineStr">
        <is>
          <t>Artifact Creature (Rendmaw trigger). Your artifact spells cost {1} less — deploys the artifact swarm (and more triggers) faster. Replaces Bastion of Remembrance.</t>
        </is>
      </c>
    </row>
    <row r="21" ht="16.5" customHeight="1" s="18">
      <c r="A21" s="30" t="n">
        <v>1</v>
      </c>
      <c r="B21" s="31" t="inlineStr">
        <is>
          <t>Card Advantage</t>
        </is>
      </c>
      <c r="C21" s="31" t="inlineStr">
        <is>
          <t>Gloomshrieker</t>
        </is>
      </c>
      <c r="D21" s="31" t="inlineStr">
        <is>
          <t>Creature</t>
        </is>
      </c>
      <c r="E21" s="30" t="n">
        <v>3</v>
      </c>
      <c r="F21" s="30" t="inlineStr">
        <is>
          <t>Yes</t>
        </is>
      </c>
      <c r="G21" s="30" t="inlineStr">
        <is>
          <t>No</t>
        </is>
      </c>
      <c r="H21" s="32" t="n">
        <v>1</v>
      </c>
      <c r="I21" s="30" t="inlineStr">
        <is>
          <t>Owned</t>
        </is>
      </c>
      <c r="J21" s="31" t="inlineStr">
        <is>
          <t>Enchantment Creature — Cat Beast 2/1 menace (Rendmaw trigger). ETB returns ANY permanent card from your graveyard to hand — recur a dead artifact, token engine, or land. Exiles itself instead of dying. Replaces Cultivate.</t>
        </is>
      </c>
    </row>
    <row r="22" ht="16.5" customHeight="1" s="18">
      <c r="A22" s="30" t="n">
        <v>1</v>
      </c>
      <c r="B22" s="31" t="inlineStr">
        <is>
          <t>Token Makers</t>
        </is>
      </c>
      <c r="C22" s="31" t="inlineStr">
        <is>
          <t>Grave Titan</t>
        </is>
      </c>
      <c r="D22" s="31" t="inlineStr">
        <is>
          <t>Creature</t>
        </is>
      </c>
      <c r="E22" s="30" t="n">
        <v>6</v>
      </c>
      <c r="F22" s="30" t="n"/>
      <c r="G22" s="30" t="inlineStr">
        <is>
          <t>Yes</t>
        </is>
      </c>
      <c r="H22" s="32" t="n">
        <v>7</v>
      </c>
      <c r="I22" s="30" t="inlineStr">
        <is>
          <t>Owned</t>
        </is>
      </c>
      <c r="J22" s="31" t="inlineStr">
        <is>
          <t>Four Zombie power on cast and again on every attack — a one-card army and top-end threat.</t>
        </is>
      </c>
    </row>
    <row r="23" ht="16.5" customHeight="1" s="18">
      <c r="A23" s="30" t="n">
        <v>1</v>
      </c>
      <c r="B23" s="31" t="inlineStr">
        <is>
          <t>Token Makers</t>
        </is>
      </c>
      <c r="C23" s="31" t="inlineStr">
        <is>
          <t>Grist, the Hunger Tide</t>
        </is>
      </c>
      <c r="D23" s="31" t="inlineStr">
        <is>
          <t>Planeswalker</t>
        </is>
      </c>
      <c r="E23" s="30" t="n">
        <v>3</v>
      </c>
      <c r="F23" s="30" t="inlineStr">
        <is>
          <t>Yes</t>
        </is>
      </c>
      <c r="G23" s="30" t="inlineStr">
        <is>
          <t>Yes</t>
        </is>
      </c>
      <c r="H23" s="32" t="n">
        <v>8</v>
      </c>
      <c r="I23" s="30" t="inlineStr">
        <is>
          <t>Owned</t>
        </is>
      </c>
      <c r="J23" s="31" t="inlineStr">
        <is>
          <t>Planeswalker that's a creature card everywhere except the battlefield, so casting it (Planeswalker + Creature) triggers Rendmaw. +1: make an Insect and chain off milled Insects. -2: sac a creature to destroy a creature/planeswalker. -5: drain for creatures in your graveyard. Replaces Ogre Slumlord.</t>
        </is>
      </c>
    </row>
    <row r="24" ht="16.5" customHeight="1" s="18">
      <c r="A24" s="30" t="n">
        <v>1</v>
      </c>
      <c r="B24" s="31" t="inlineStr">
        <is>
          <t>Removal &amp; Interaction</t>
        </is>
      </c>
      <c r="C24" s="31" t="inlineStr">
        <is>
          <t>Haywire Mite</t>
        </is>
      </c>
      <c r="D24" s="31" t="inlineStr">
        <is>
          <t>Creature</t>
        </is>
      </c>
      <c r="E24" s="30" t="n">
        <v>1</v>
      </c>
      <c r="F24" s="30" t="inlineStr">
        <is>
          <t>Yes</t>
        </is>
      </c>
      <c r="G24" s="30" t="inlineStr">
        <is>
          <t>Yes</t>
        </is>
      </c>
      <c r="H24" s="32" t="n">
        <v>3</v>
      </c>
      <c r="I24" s="30" t="inlineStr">
        <is>
          <t>Owned</t>
        </is>
      </c>
      <c r="J24" s="31" t="inlineStr">
        <is>
          <t>Artifact Creature: Rendmaw trigger that sacrifices to exile a problem artifact or enchantment — colorless removal on a body.</t>
        </is>
      </c>
    </row>
    <row r="25" ht="16.5" customHeight="1" s="18">
      <c r="A25" s="30" t="n">
        <v>1</v>
      </c>
      <c r="B25" s="31" t="inlineStr">
        <is>
          <t>Artifacts Matters</t>
        </is>
      </c>
      <c r="C25" s="31" t="inlineStr">
        <is>
          <t>Junk Diver</t>
        </is>
      </c>
      <c r="D25" s="31" t="inlineStr">
        <is>
          <t>Creature</t>
        </is>
      </c>
      <c r="E25" s="30" t="n">
        <v>3</v>
      </c>
      <c r="F25" s="30" t="inlineStr">
        <is>
          <t>Yes</t>
        </is>
      </c>
      <c r="G25" s="30" t="inlineStr">
        <is>
          <t>No</t>
        </is>
      </c>
      <c r="H25" s="32" t="n">
        <v>1</v>
      </c>
      <c r="I25" s="30" t="inlineStr">
        <is>
          <t>Owned</t>
        </is>
      </c>
      <c r="J25" s="31" t="inlineStr">
        <is>
          <t>Artifact Creature — Bird (Rendmaw trigger), 1/1 flyer. Dies to return an artifact from your graveyard — a flying Myr Retriever, on-theme with your Birds. Replaces Scute Swarm.</t>
        </is>
      </c>
    </row>
    <row r="26" ht="16.5" customHeight="1" s="18">
      <c r="A26" s="30" t="n">
        <v>1</v>
      </c>
      <c r="B26" s="31" t="inlineStr">
        <is>
          <t>Ramp &amp; Rocks</t>
        </is>
      </c>
      <c r="C26" s="31" t="inlineStr">
        <is>
          <t>Leaden Myr</t>
        </is>
      </c>
      <c r="D26" s="31" t="inlineStr">
        <is>
          <t>Creature</t>
        </is>
      </c>
      <c r="E26" s="30" t="n">
        <v>2</v>
      </c>
      <c r="F26" s="30" t="inlineStr">
        <is>
          <t>Yes</t>
        </is>
      </c>
      <c r="G26" s="30" t="inlineStr">
        <is>
          <t>No</t>
        </is>
      </c>
      <c r="H26" s="32" t="n">
        <v>1</v>
      </c>
      <c r="I26" s="30" t="inlineStr">
        <is>
          <t>Owned</t>
        </is>
      </c>
      <c r="J26" s="31" t="inlineStr">
        <is>
          <t>Artifact Creature: Rendmaw trigger that taps for black.</t>
        </is>
      </c>
    </row>
    <row r="27" ht="16.5" customHeight="1" s="18">
      <c r="A27" s="30" t="n">
        <v>1</v>
      </c>
      <c r="B27" s="31" t="inlineStr">
        <is>
          <t>Removal &amp; Interaction</t>
        </is>
      </c>
      <c r="C27" s="31" t="inlineStr">
        <is>
          <t>Massacre Wurm</t>
        </is>
      </c>
      <c r="D27" s="31" t="inlineStr">
        <is>
          <t>Creature</t>
        </is>
      </c>
      <c r="E27" s="30" t="n">
        <v>6</v>
      </c>
      <c r="F27" s="30" t="n"/>
      <c r="G27" s="30" t="inlineStr">
        <is>
          <t>Yes</t>
        </is>
      </c>
      <c r="H27" s="32" t="n">
        <v>7</v>
      </c>
      <c r="I27" s="30" t="inlineStr">
        <is>
          <t>Owned</t>
        </is>
      </c>
      <c r="J27" s="31" t="inlineStr">
        <is>
          <t>Gives enemy creatures -2/-2 (sweeps tokens) and drains for each that dies — an asymmetrical wrath.</t>
        </is>
      </c>
    </row>
    <row r="28" ht="16.5" customHeight="1" s="18">
      <c r="A28" s="30" t="n">
        <v>1</v>
      </c>
      <c r="B28" s="31" t="inlineStr">
        <is>
          <t>Token Payoffs</t>
        </is>
      </c>
      <c r="C28" s="31" t="inlineStr">
        <is>
          <t>Metallic Mimic</t>
        </is>
      </c>
      <c r="D28" s="31" t="inlineStr">
        <is>
          <t>Creature</t>
        </is>
      </c>
      <c r="E28" s="30" t="n">
        <v>2</v>
      </c>
      <c r="F28" s="30" t="inlineStr">
        <is>
          <t>Yes</t>
        </is>
      </c>
      <c r="G28" s="30" t="inlineStr">
        <is>
          <t>Yes</t>
        </is>
      </c>
      <c r="H28" s="32" t="n">
        <v>3</v>
      </c>
      <c r="I28" s="30" t="inlineStr">
        <is>
          <t>Owned</t>
        </is>
      </c>
      <c r="J28" s="31" t="inlineStr">
        <is>
          <t>Artifact Creature — Shapeshifter (Rendmaw trigger). Name 'Bird' as it enters and every Rendmaw Bird arrives as a 3/3 — a permanent anthem baked into your token engine. Replaces Dreadhorde Invasion.</t>
        </is>
      </c>
    </row>
    <row r="29" ht="16.5" customHeight="1" s="18">
      <c r="A29" s="30" t="n">
        <v>1</v>
      </c>
      <c r="B29" s="31" t="inlineStr">
        <is>
          <t>Card Advantage</t>
        </is>
      </c>
      <c r="C29" s="31" t="inlineStr">
        <is>
          <t>Midnight Reaper</t>
        </is>
      </c>
      <c r="D29" s="31" t="inlineStr">
        <is>
          <t>Creature</t>
        </is>
      </c>
      <c r="E29" s="30" t="n">
        <v>3</v>
      </c>
      <c r="F29" s="30" t="n"/>
      <c r="G29" s="30" t="inlineStr">
        <is>
          <t>Yes</t>
        </is>
      </c>
      <c r="H29" s="32" t="n">
        <v>4</v>
      </c>
      <c r="I29" s="30" t="inlineStr">
        <is>
          <t>Owned</t>
        </is>
      </c>
      <c r="J29" s="31" t="inlineStr">
        <is>
          <t>Draws a card for each nontoken creature you lose — refuels the aristocrats plan.</t>
        </is>
      </c>
    </row>
    <row r="30" ht="16.5" customHeight="1" s="18">
      <c r="A30" s="30" t="n">
        <v>1</v>
      </c>
      <c r="B30" s="31" t="inlineStr">
        <is>
          <t>Artifacts Matters</t>
        </is>
      </c>
      <c r="C30" s="31" t="inlineStr">
        <is>
          <t>Myr Retriever</t>
        </is>
      </c>
      <c r="D30" s="31" t="inlineStr">
        <is>
          <t>Creature</t>
        </is>
      </c>
      <c r="E30" s="30" t="n">
        <v>2</v>
      </c>
      <c r="F30" s="30" t="inlineStr">
        <is>
          <t>Yes</t>
        </is>
      </c>
      <c r="G30" s="30" t="inlineStr">
        <is>
          <t>No</t>
        </is>
      </c>
      <c r="H30" s="32" t="n">
        <v>1</v>
      </c>
      <c r="I30" s="30" t="inlineStr">
        <is>
          <t>Owned</t>
        </is>
      </c>
      <c r="J30" s="31" t="inlineStr">
        <is>
          <t>Artifact Creature (Rendmaw trigger). Dies to return an artifact from your graveyard — recursion loop with sac outlets. Replaces Dictate of Erebos.</t>
        </is>
      </c>
    </row>
    <row r="31" ht="16.5" customHeight="1" s="18">
      <c r="A31" s="30" t="n">
        <v>1</v>
      </c>
      <c r="B31" s="31" t="inlineStr">
        <is>
          <t>Token Payoffs</t>
        </is>
      </c>
      <c r="C31" s="31" t="inlineStr">
        <is>
          <t>Ohran Frostfang</t>
        </is>
      </c>
      <c r="D31" s="31" t="inlineStr">
        <is>
          <t>Creature</t>
        </is>
      </c>
      <c r="E31" s="30" t="n">
        <v>5</v>
      </c>
      <c r="F31" s="30" t="n"/>
      <c r="G31" s="30" t="inlineStr">
        <is>
          <t>Yes</t>
        </is>
      </c>
      <c r="H31" s="32" t="n">
        <v>9</v>
      </c>
      <c r="I31" s="30" t="inlineStr">
        <is>
          <t>Owned</t>
        </is>
      </c>
      <c r="J31" s="31" t="inlineStr">
        <is>
          <t>Snow Snake 2/6. Your ATTACKING creatures gain deathtouch (goaded Birds trade up brutally) and you draw a card whenever a creature connects. Huge go-wide combat payoff. Replaces Poison-Tip Archer.</t>
        </is>
      </c>
    </row>
    <row r="32" ht="16.5" customHeight="1" s="18">
      <c r="A32" s="30" t="n">
        <v>1</v>
      </c>
      <c r="B32" s="31" t="inlineStr">
        <is>
          <t>Token Makers</t>
        </is>
      </c>
      <c r="C32" s="31" t="inlineStr">
        <is>
          <t>Ophiomancer</t>
        </is>
      </c>
      <c r="D32" s="31" t="inlineStr">
        <is>
          <t>Creature</t>
        </is>
      </c>
      <c r="E32" s="30" t="n">
        <v>3</v>
      </c>
      <c r="F32" s="30" t="n"/>
      <c r="G32" s="30" t="inlineStr">
        <is>
          <t>Yes</t>
        </is>
      </c>
      <c r="H32" s="32" t="n">
        <v>8</v>
      </c>
      <c r="I32" s="30" t="inlineStr">
        <is>
          <t>Owned</t>
        </is>
      </c>
      <c r="J32" s="31" t="inlineStr">
        <is>
          <t>A 1/1 deathtouch Snake each upkeep. Endless sac fodder plus deathtouch blockers that deter attacks.</t>
        </is>
      </c>
    </row>
    <row r="33" ht="16.5" customHeight="1" s="18">
      <c r="A33" s="30" t="n">
        <v>1</v>
      </c>
      <c r="B33" s="31" t="inlineStr">
        <is>
          <t>Ramp &amp; Rocks</t>
        </is>
      </c>
      <c r="C33" s="31" t="inlineStr">
        <is>
          <t>Ornithopter of Paradise</t>
        </is>
      </c>
      <c r="D33" s="31" t="inlineStr">
        <is>
          <t>Creature</t>
        </is>
      </c>
      <c r="E33" s="30" t="n">
        <v>2</v>
      </c>
      <c r="F33" s="30" t="inlineStr">
        <is>
          <t>Yes</t>
        </is>
      </c>
      <c r="G33" s="30" t="inlineStr">
        <is>
          <t>No</t>
        </is>
      </c>
      <c r="H33" s="32" t="n">
        <v>1</v>
      </c>
      <c r="I33" s="30" t="inlineStr">
        <is>
          <t>Owned</t>
        </is>
      </c>
      <c r="J33" s="31" t="inlineStr">
        <is>
          <t>Artifact Creature: Rendmaw trigger and any-color fixing on a 0/2 flyer.</t>
        </is>
      </c>
    </row>
    <row r="34" ht="16.5" customHeight="1" s="18">
      <c r="A34" s="30" t="n">
        <v>1</v>
      </c>
      <c r="B34" s="31" t="inlineStr">
        <is>
          <t>Ramp &amp; Rocks</t>
        </is>
      </c>
      <c r="C34" s="31" t="inlineStr">
        <is>
          <t>Overlord of the Hauntwoods</t>
        </is>
      </c>
      <c r="D34" s="31" t="inlineStr">
        <is>
          <t>Creature</t>
        </is>
      </c>
      <c r="E34" s="30" t="n">
        <v>5</v>
      </c>
      <c r="F34" s="30" t="inlineStr">
        <is>
          <t>Yes</t>
        </is>
      </c>
      <c r="G34" s="30" t="inlineStr">
        <is>
          <t>Yes</t>
        </is>
      </c>
      <c r="H34" s="32" t="n">
        <v>12</v>
      </c>
      <c r="I34" s="30" t="inlineStr">
        <is>
          <t>Owned</t>
        </is>
      </c>
      <c r="J34" s="31" t="inlineStr">
        <is>
          <t>Enchantment Creature (Rendmaw trigger), 6/5, Impending 4. Creates an 'Everywhere' land token (taps for any color) on enter AND on attack — repeatable ramp/fixing on a huge body. Replaces Izoni.</t>
        </is>
      </c>
    </row>
    <row r="35" ht="16.5" customHeight="1" s="18">
      <c r="A35" s="30" t="n">
        <v>1</v>
      </c>
      <c r="B35" s="31" t="inlineStr">
        <is>
          <t>Ramp &amp; Rocks</t>
        </is>
      </c>
      <c r="C35" s="31" t="inlineStr">
        <is>
          <t>Palladium Myr</t>
        </is>
      </c>
      <c r="D35" s="31" t="inlineStr">
        <is>
          <t>Creature</t>
        </is>
      </c>
      <c r="E35" s="30" t="n">
        <v>3</v>
      </c>
      <c r="F35" s="30" t="inlineStr">
        <is>
          <t>Yes</t>
        </is>
      </c>
      <c r="G35" s="30" t="inlineStr">
        <is>
          <t>No</t>
        </is>
      </c>
      <c r="H35" s="32" t="n">
        <v>1</v>
      </c>
      <c r="I35" s="30" t="inlineStr">
        <is>
          <t>Owned</t>
        </is>
      </c>
      <c r="J35" s="31" t="inlineStr">
        <is>
          <t>Artifact Creature: Rendmaw trigger that ramps two colorless.</t>
        </is>
      </c>
    </row>
    <row r="36" ht="16.5" customHeight="1" s="18">
      <c r="A36" s="30" t="n">
        <v>1</v>
      </c>
      <c r="B36" s="31" t="inlineStr">
        <is>
          <t>Ramp &amp; Rocks</t>
        </is>
      </c>
      <c r="C36" s="31" t="inlineStr">
        <is>
          <t>Sakura-Tribe Elder</t>
        </is>
      </c>
      <c r="D36" s="31" t="inlineStr">
        <is>
          <t>Creature</t>
        </is>
      </c>
      <c r="E36" s="30" t="n">
        <v>2</v>
      </c>
      <c r="F36" s="30" t="n"/>
      <c r="G36" s="30" t="inlineStr">
        <is>
          <t>Yes</t>
        </is>
      </c>
      <c r="H36" s="32" t="n">
        <v>3</v>
      </c>
      <c r="I36" s="30" t="inlineStr">
        <is>
          <t>Owned</t>
        </is>
      </c>
      <c r="J36" s="31" t="inlineStr">
        <is>
          <t>Blocks, then sacrifices to ramp — a chump, a sac trigger, and a land all at once.</t>
        </is>
      </c>
    </row>
    <row r="37" ht="16.5" customHeight="1" s="18">
      <c r="A37" s="30" t="n">
        <v>1</v>
      </c>
      <c r="B37" s="31" t="inlineStr">
        <is>
          <t>Artifacts Matters</t>
        </is>
      </c>
      <c r="C37" s="31" t="inlineStr">
        <is>
          <t>Scrap Trawler</t>
        </is>
      </c>
      <c r="D37" s="31" t="inlineStr">
        <is>
          <t>Creature</t>
        </is>
      </c>
      <c r="E37" s="30" t="n">
        <v>3</v>
      </c>
      <c r="F37" s="30" t="inlineStr">
        <is>
          <t>Yes</t>
        </is>
      </c>
      <c r="G37" s="30" t="inlineStr">
        <is>
          <t>No</t>
        </is>
      </c>
      <c r="H37" s="32" t="n">
        <v>2</v>
      </c>
      <c r="I37" s="30" t="inlineStr">
        <is>
          <t>Owned</t>
        </is>
      </c>
      <c r="J37" s="31" t="inlineStr">
        <is>
          <t>Artifact Creature (Rendmaw trigger). Whenever an artifact you control dies, return a cheaper artifact from your graveyard — a recursion engine with your Treasures, dorks, and sac outlets. Replaces Chatterfang.</t>
        </is>
      </c>
    </row>
    <row r="38" ht="16.5" customHeight="1" s="18">
      <c r="A38" s="30" t="n">
        <v>1</v>
      </c>
      <c r="B38" s="31" t="inlineStr">
        <is>
          <t>Card Advantage</t>
        </is>
      </c>
      <c r="C38" s="31" t="inlineStr">
        <is>
          <t>Shigeki, Jukai Visionary</t>
        </is>
      </c>
      <c r="D38" s="31" t="inlineStr">
        <is>
          <t>Creature</t>
        </is>
      </c>
      <c r="E38" s="30" t="n">
        <v>2</v>
      </c>
      <c r="F38" s="30" t="inlineStr">
        <is>
          <t>Yes</t>
        </is>
      </c>
      <c r="G38" s="30" t="inlineStr">
        <is>
          <t>No</t>
        </is>
      </c>
      <c r="H38" s="32" t="n">
        <v>1</v>
      </c>
      <c r="I38" s="30" t="inlineStr">
        <is>
          <t>Owned</t>
        </is>
      </c>
      <c r="J38" s="31" t="inlineStr">
        <is>
          <t>Enchantment Creature (Rendmaw trigger). Bounces itself to ramp a land and fill your graveyard; its channel returns nonlegendary cards from the yard. Value + recursion. Replaces Parallel Lives (Primal Vigor kept as your doubler).</t>
        </is>
      </c>
    </row>
    <row r="39" ht="16.5" customHeight="1" s="18">
      <c r="A39" s="30" t="n">
        <v>1</v>
      </c>
      <c r="B39" s="31" t="inlineStr">
        <is>
          <t>Token Makers</t>
        </is>
      </c>
      <c r="C39" s="31" t="inlineStr">
        <is>
          <t>Solemn Simulacrum</t>
        </is>
      </c>
      <c r="D39" s="31" t="inlineStr">
        <is>
          <t>Creature</t>
        </is>
      </c>
      <c r="E39" s="30" t="n">
        <v>4</v>
      </c>
      <c r="F39" s="30" t="inlineStr">
        <is>
          <t>Yes</t>
        </is>
      </c>
      <c r="G39" s="30" t="inlineStr">
        <is>
          <t>No</t>
        </is>
      </c>
      <c r="H39" s="32" t="n">
        <v>4</v>
      </c>
      <c r="I39" s="30" t="inlineStr">
        <is>
          <t>Owned</t>
        </is>
      </c>
      <c r="J39" s="31" t="inlineStr">
        <is>
          <t>Artifact Creature: Rendmaw trigger, ramps, draws on death, ideal sac fodder.</t>
        </is>
      </c>
    </row>
    <row r="40" ht="16.5" customHeight="1" s="18">
      <c r="A40" s="30" t="n">
        <v>1</v>
      </c>
      <c r="B40" s="31" t="inlineStr">
        <is>
          <t>Artifacts Matters</t>
        </is>
      </c>
      <c r="C40" s="31" t="inlineStr">
        <is>
          <t>Steel Overseer</t>
        </is>
      </c>
      <c r="D40" s="31" t="inlineStr">
        <is>
          <t>Creature</t>
        </is>
      </c>
      <c r="E40" s="30" t="n">
        <v>2</v>
      </c>
      <c r="F40" s="30" t="inlineStr">
        <is>
          <t>Yes</t>
        </is>
      </c>
      <c r="G40" s="30" t="inlineStr">
        <is>
          <t>No</t>
        </is>
      </c>
      <c r="H40" s="32" t="n">
        <v>5</v>
      </c>
      <c r="I40" s="30" t="inlineStr">
        <is>
          <t>Owned</t>
        </is>
      </c>
      <c r="J40" s="31" t="inlineStr">
        <is>
          <t>Artifact Creature (Rendmaw trigger). Taps to put a +1/+1 counter on EVERY artifact creature you control — a snowballing anthem over your dozen-plus artifact bodies. Straight upgrade over the Manakin it replaces.</t>
        </is>
      </c>
    </row>
    <row r="41" ht="16.5" customHeight="1" s="18">
      <c r="A41" s="30" t="n">
        <v>1</v>
      </c>
      <c r="B41" s="31" t="inlineStr">
        <is>
          <t>Token Makers</t>
        </is>
      </c>
      <c r="C41" s="31" t="inlineStr">
        <is>
          <t>Tendershoot Dryad</t>
        </is>
      </c>
      <c r="D41" s="31" t="inlineStr">
        <is>
          <t>Creature</t>
        </is>
      </c>
      <c r="E41" s="30" t="n">
        <v>5</v>
      </c>
      <c r="F41" s="30" t="n"/>
      <c r="G41" s="30" t="inlineStr">
        <is>
          <t>No</t>
        </is>
      </c>
      <c r="H41" s="32" t="n">
        <v>6</v>
      </c>
      <c r="I41" s="30" t="inlineStr">
        <is>
          <t>Owned</t>
        </is>
      </c>
      <c r="J41" s="31" t="inlineStr">
        <is>
          <t>A Saproling every upkeep (two after ten permanents) and anthems your whole board.</t>
        </is>
      </c>
    </row>
    <row r="42" ht="16.5" customHeight="1" s="18">
      <c r="A42" s="30" t="n">
        <v>1</v>
      </c>
      <c r="B42" s="31" t="inlineStr">
        <is>
          <t>Token Makers</t>
        </is>
      </c>
      <c r="C42" s="31" t="inlineStr">
        <is>
          <t>Twitching Doll</t>
        </is>
      </c>
      <c r="D42" s="31" t="inlineStr">
        <is>
          <t>Creature</t>
        </is>
      </c>
      <c r="E42" s="30" t="n">
        <v>2</v>
      </c>
      <c r="F42" s="30" t="inlineStr">
        <is>
          <t>Yes</t>
        </is>
      </c>
      <c r="G42" s="30" t="inlineStr">
        <is>
          <t>Yes</t>
        </is>
      </c>
      <c r="H42" s="32" t="n">
        <v>4</v>
      </c>
      <c r="I42" s="30" t="inlineStr">
        <is>
          <t>Owned</t>
        </is>
      </c>
      <c r="J42" s="31" t="inlineStr">
        <is>
          <t>Artifact Creature: Rendmaw trigger and a mana dork; stockpile nest counters, then sacrifice it for a pile of 2/2 reach Spiders.</t>
        </is>
      </c>
    </row>
    <row r="43" ht="16.5" customHeight="1" s="18">
      <c r="A43" s="30" t="n">
        <v>1</v>
      </c>
      <c r="B43" s="31" t="inlineStr">
        <is>
          <t>Token Payoffs</t>
        </is>
      </c>
      <c r="C43" s="31" t="inlineStr">
        <is>
          <t>Verdurous Gearhulk</t>
        </is>
      </c>
      <c r="D43" s="31" t="inlineStr">
        <is>
          <t>Creature</t>
        </is>
      </c>
      <c r="E43" s="30" t="n">
        <v>5</v>
      </c>
      <c r="F43" s="30" t="inlineStr">
        <is>
          <t>Yes</t>
        </is>
      </c>
      <c r="G43" s="30" t="inlineStr">
        <is>
          <t>No</t>
        </is>
      </c>
      <c r="H43" s="32" t="n">
        <v>3</v>
      </c>
      <c r="I43" s="30" t="inlineStr">
        <is>
          <t>Owned</t>
        </is>
      </c>
      <c r="J43" s="31" t="inlineStr">
        <is>
          <t>Artifact Creature: Rendmaw trigger that dumps four +1/+1 counters onto your board.</t>
        </is>
      </c>
    </row>
    <row r="44" ht="16.5" customHeight="1" s="18">
      <c r="A44" s="30" t="n">
        <v>1</v>
      </c>
      <c r="B44" s="31" t="inlineStr">
        <is>
          <t>Sacrifice Outlets</t>
        </is>
      </c>
      <c r="C44" s="31" t="inlineStr">
        <is>
          <t>Woe Strider</t>
        </is>
      </c>
      <c r="D44" s="31" t="inlineStr">
        <is>
          <t>Creature</t>
        </is>
      </c>
      <c r="E44" s="30" t="n">
        <v>3</v>
      </c>
      <c r="F44" s="30" t="n"/>
      <c r="G44" s="30" t="inlineStr">
        <is>
          <t>Yes</t>
        </is>
      </c>
      <c r="H44" s="32" t="n">
        <v>1</v>
      </c>
      <c r="I44" s="30" t="inlineStr">
        <is>
          <t>Owned</t>
        </is>
      </c>
      <c r="J44" s="31" t="inlineStr">
        <is>
          <t>Free sac outlet with scry, comes with a Goat token, and escapes back from the graveyard.</t>
        </is>
      </c>
    </row>
    <row r="45" ht="16.5" customHeight="1" s="18">
      <c r="A45" s="30" t="n">
        <v>1</v>
      </c>
      <c r="B45" s="31" t="inlineStr">
        <is>
          <t>Token Payoffs</t>
        </is>
      </c>
      <c r="C45" s="31" t="inlineStr">
        <is>
          <t>Beastmaster Ascension</t>
        </is>
      </c>
      <c r="D45" s="31" t="inlineStr">
        <is>
          <t>Enchantment</t>
        </is>
      </c>
      <c r="E45" s="30" t="n">
        <v>3</v>
      </c>
      <c r="F45" s="30" t="n"/>
      <c r="G45" s="30" t="inlineStr">
        <is>
          <t>No</t>
        </is>
      </c>
      <c r="H45" s="32" t="n">
        <v>4</v>
      </c>
      <c r="I45" s="30" t="inlineStr">
        <is>
          <t>Owned</t>
        </is>
      </c>
      <c r="J45" s="31" t="inlineStr">
        <is>
          <t>After seven attackers it gives every creature +5/+5 — trivial with a wide Bird board.</t>
        </is>
      </c>
    </row>
    <row r="46" ht="16.5" customHeight="1" s="18">
      <c r="A46" s="30" t="n">
        <v>1</v>
      </c>
      <c r="B46" s="31" t="inlineStr">
        <is>
          <t>Artifacts Matters</t>
        </is>
      </c>
      <c r="C46" s="31" t="inlineStr">
        <is>
          <t>Biotransference</t>
        </is>
      </c>
      <c r="D46" s="31" t="inlineStr">
        <is>
          <t>Enchantment</t>
        </is>
      </c>
      <c r="E46" s="30" t="n">
        <v>4</v>
      </c>
      <c r="F46" s="30" t="n"/>
      <c r="G46" s="30" t="inlineStr">
        <is>
          <t>Yes</t>
        </is>
      </c>
      <c r="H46" s="32" t="n">
        <v>2</v>
      </c>
      <c r="I46" s="30" t="inlineStr">
        <is>
          <t>Owned</t>
        </is>
      </c>
      <c r="J46" s="31" t="inlineStr">
        <is>
          <t>Black enchantment engine (not a trigger itself, but the best trigger-ENABLER you can run). Makes all your creatures/creature-spells artifacts, so casting ANY creature becomes an artifact creature (2 types) that triggers Rendmaw AND makes a 2/2 Necron token. Also switches on Steel Overseer, Scrap Trawler, and Foundry Inspector for your whole board. Replaces Myr Battlesphere.</t>
        </is>
      </c>
    </row>
    <row r="47" ht="16.5" customHeight="1" s="18">
      <c r="A47" s="30" t="n">
        <v>1</v>
      </c>
      <c r="B47" s="31" t="inlineStr">
        <is>
          <t>Removal &amp; Interaction</t>
        </is>
      </c>
      <c r="C47" s="31" t="inlineStr">
        <is>
          <t>Bow of Nylea</t>
        </is>
      </c>
      <c r="D47" s="31" t="inlineStr">
        <is>
          <t>Enchantment</t>
        </is>
      </c>
      <c r="E47" s="30" t="n">
        <v>3</v>
      </c>
      <c r="F47" s="30" t="inlineStr">
        <is>
          <t>Yes</t>
        </is>
      </c>
      <c r="G47" s="30" t="inlineStr">
        <is>
          <t>No</t>
        </is>
      </c>
      <c r="H47" s="32" t="n">
        <v>3</v>
      </c>
      <c r="I47" s="30" t="inlineStr">
        <is>
          <t>Owned</t>
        </is>
      </c>
      <c r="J47" s="31" t="inlineStr">
        <is>
          <t>Enchantment Artifact (Rendmaw trigger): repeatable deathtouch pings, +1/+1 counters, and recursion.</t>
        </is>
      </c>
    </row>
    <row r="48" ht="16.5" customHeight="1" s="18">
      <c r="A48" s="30" t="n">
        <v>1</v>
      </c>
      <c r="B48" s="31" t="inlineStr">
        <is>
          <t>Card Advantage</t>
        </is>
      </c>
      <c r="C48" s="31" t="inlineStr">
        <is>
          <t>Deathreap Ritual</t>
        </is>
      </c>
      <c r="D48" s="31" t="inlineStr">
        <is>
          <t>Enchantment</t>
        </is>
      </c>
      <c r="E48" s="30" t="n">
        <v>4</v>
      </c>
      <c r="F48" s="30" t="n"/>
      <c r="G48" s="30" t="inlineStr">
        <is>
          <t>Yes</t>
        </is>
      </c>
      <c r="H48" s="32" t="n">
        <v>3</v>
      </c>
      <c r="I48" s="30" t="inlineStr">
        <is>
          <t>Owned</t>
        </is>
      </c>
      <c r="J48" s="31" t="inlineStr">
        <is>
          <t>Draw a card each turn a creature died — usually multiple across everyone's turns.</t>
        </is>
      </c>
    </row>
    <row r="49" ht="16.5" customHeight="1" s="18">
      <c r="A49" s="30" t="n">
        <v>1</v>
      </c>
      <c r="B49" s="31" t="inlineStr">
        <is>
          <t>Removal &amp; Interaction</t>
        </is>
      </c>
      <c r="C49" s="31" t="inlineStr">
        <is>
          <t>Lignify</t>
        </is>
      </c>
      <c r="D49" s="31" t="inlineStr">
        <is>
          <t>Enchantment</t>
        </is>
      </c>
      <c r="E49" s="30" t="n">
        <v>2</v>
      </c>
      <c r="F49" s="30" t="inlineStr">
        <is>
          <t>Yes</t>
        </is>
      </c>
      <c r="G49" s="30" t="inlineStr">
        <is>
          <t>No</t>
        </is>
      </c>
      <c r="H49" s="32" t="n">
        <v>1</v>
      </c>
      <c r="I49" s="30" t="inlineStr">
        <is>
          <t>Owned</t>
        </is>
      </c>
      <c r="J49" s="31" t="inlineStr">
        <is>
          <t>Kindred (Tribal) Enchantment Aura, so it triggers Rendmaw — neuters a threat into a 0/4 Treefolk with no abilities.</t>
        </is>
      </c>
    </row>
    <row r="50" ht="16.5" customHeight="1" s="18">
      <c r="A50" s="30" t="n">
        <v>1</v>
      </c>
      <c r="B50" s="31" t="inlineStr">
        <is>
          <t>Token Payoffs</t>
        </is>
      </c>
      <c r="C50" s="31" t="inlineStr">
        <is>
          <t>Primal Vigor</t>
        </is>
      </c>
      <c r="D50" s="31" t="inlineStr">
        <is>
          <t>Enchantment</t>
        </is>
      </c>
      <c r="E50" s="30" t="n">
        <v>5</v>
      </c>
      <c r="F50" s="30" t="n"/>
      <c r="G50" s="30" t="inlineStr">
        <is>
          <t>Yes</t>
        </is>
      </c>
      <c r="H50" s="32" t="n">
        <v>20</v>
      </c>
      <c r="I50" s="30" t="inlineStr">
        <is>
          <t>Owned</t>
        </is>
      </c>
      <c r="J50" s="31" t="inlineStr">
        <is>
          <t>Doubles every token you create (stacks with Parallel Lives) and doubles +1/+1 counters. Symmetric — it also doubles opponents' Rendmaw Birds — but you make far more tokens than they do. Replaces Eyeblight's Ending.</t>
        </is>
      </c>
    </row>
    <row r="51" ht="16.5" customHeight="1" s="18">
      <c r="A51" s="30" t="n">
        <v>1</v>
      </c>
      <c r="B51" s="31" t="inlineStr">
        <is>
          <t>Card Advantage</t>
        </is>
      </c>
      <c r="C51" s="31" t="inlineStr">
        <is>
          <t>Whip of Erebos</t>
        </is>
      </c>
      <c r="D51" s="31" t="inlineStr">
        <is>
          <t>Enchantment</t>
        </is>
      </c>
      <c r="E51" s="30" t="n">
        <v>4</v>
      </c>
      <c r="F51" s="30" t="inlineStr">
        <is>
          <t>Yes</t>
        </is>
      </c>
      <c r="G51" s="30" t="inlineStr">
        <is>
          <t>No</t>
        </is>
      </c>
      <c r="H51" s="32" t="n">
        <v>3</v>
      </c>
      <c r="I51" s="30" t="inlineStr">
        <is>
          <t>Owned</t>
        </is>
      </c>
      <c r="J51" s="31" t="inlineStr">
        <is>
          <t>Enchantment Artifact (Rendmaw trigger): lifelink for your team and a reanimation engine.</t>
        </is>
      </c>
    </row>
    <row r="52" ht="16.5" customHeight="1" s="18">
      <c r="A52" s="30" t="n">
        <v>1</v>
      </c>
      <c r="B52" s="31" t="inlineStr">
        <is>
          <t>Removal &amp; Interaction</t>
        </is>
      </c>
      <c r="C52" s="31" t="inlineStr">
        <is>
          <t>Assassin's Trophy</t>
        </is>
      </c>
      <c r="D52" s="31" t="inlineStr">
        <is>
          <t>Instant</t>
        </is>
      </c>
      <c r="E52" s="30" t="n">
        <v>2</v>
      </c>
      <c r="F52" s="30" t="n"/>
      <c r="G52" s="30" t="inlineStr">
        <is>
          <t>Yes</t>
        </is>
      </c>
      <c r="H52" s="32" t="n">
        <v>6</v>
      </c>
      <c r="I52" s="30" t="inlineStr">
        <is>
          <t>Owned</t>
        </is>
      </c>
      <c r="J52" s="31" t="inlineStr">
        <is>
          <t>Destroys any permanent at instant speed — the premier Golgari answer.</t>
        </is>
      </c>
    </row>
    <row r="53" ht="16.5" customHeight="1" s="18">
      <c r="A53" s="30" t="n">
        <v>1</v>
      </c>
      <c r="B53" s="31" t="inlineStr">
        <is>
          <t>Removal &amp; Interaction</t>
        </is>
      </c>
      <c r="C53" s="31" t="inlineStr">
        <is>
          <t>Beast Within</t>
        </is>
      </c>
      <c r="D53" s="31" t="inlineStr">
        <is>
          <t>Instant</t>
        </is>
      </c>
      <c r="E53" s="30" t="n">
        <v>3</v>
      </c>
      <c r="F53" s="30" t="n"/>
      <c r="G53" s="30" t="inlineStr">
        <is>
          <t>No</t>
        </is>
      </c>
      <c r="H53" s="32" t="n">
        <v>3</v>
      </c>
      <c r="I53" s="30" t="inlineStr">
        <is>
          <t>Owned</t>
        </is>
      </c>
      <c r="J53" s="31" t="inlineStr">
        <is>
          <t>Destroys any permanent; the 3/3 it leaves is easily outclassed by your board.</t>
        </is>
      </c>
    </row>
    <row r="54" ht="16.5" customHeight="1" s="18">
      <c r="A54" s="30" t="n">
        <v>1</v>
      </c>
      <c r="B54" s="31" t="inlineStr">
        <is>
          <t>Removal &amp; Interaction</t>
        </is>
      </c>
      <c r="C54" s="31" t="inlineStr">
        <is>
          <t>Eyeblight's Ending</t>
        </is>
      </c>
      <c r="D54" s="31" t="inlineStr">
        <is>
          <t>Instant</t>
        </is>
      </c>
      <c r="E54" s="30" t="n">
        <v>3</v>
      </c>
      <c r="F54" s="30" t="inlineStr">
        <is>
          <t>Yes</t>
        </is>
      </c>
      <c r="G54" s="30" t="inlineStr">
        <is>
          <t>No</t>
        </is>
      </c>
      <c r="H54" s="32" t="n">
        <v>1</v>
      </c>
      <c r="I54" s="30" t="inlineStr">
        <is>
          <t>Owned</t>
        </is>
      </c>
      <c r="J54" s="31" t="inlineStr">
        <is>
          <t>Clean instant-speed removal for almost any creature. Re-added (replaces Slimefoot).</t>
        </is>
      </c>
    </row>
    <row r="55" ht="16.5" customHeight="1" s="18">
      <c r="A55" s="30" t="n">
        <v>1</v>
      </c>
      <c r="B55" s="31" t="inlineStr">
        <is>
          <t>Removal &amp; Interaction</t>
        </is>
      </c>
      <c r="C55" s="31" t="inlineStr">
        <is>
          <t>Heroic Intervention</t>
        </is>
      </c>
      <c r="D55" s="31" t="inlineStr">
        <is>
          <t>Instant</t>
        </is>
      </c>
      <c r="E55" s="30" t="n">
        <v>2</v>
      </c>
      <c r="F55" s="30" t="n"/>
      <c r="G55" s="30" t="inlineStr">
        <is>
          <t>No</t>
        </is>
      </c>
      <c r="H55" s="32" t="n">
        <v>4</v>
      </c>
      <c r="I55" s="30" t="inlineStr">
        <is>
          <t>Owned</t>
        </is>
      </c>
      <c r="J55" s="31" t="inlineStr">
        <is>
          <t>Protects your whole board from wraths and targeted removal for two mana.</t>
        </is>
      </c>
    </row>
    <row r="56" ht="16.5" customHeight="1" s="18">
      <c r="A56" s="30" t="n">
        <v>1</v>
      </c>
      <c r="B56" s="31" t="inlineStr">
        <is>
          <t>Removal &amp; Interaction</t>
        </is>
      </c>
      <c r="C56" s="31" t="inlineStr">
        <is>
          <t>Nameless Inversion</t>
        </is>
      </c>
      <c r="D56" s="31" t="inlineStr">
        <is>
          <t>Instant</t>
        </is>
      </c>
      <c r="E56" s="30" t="n">
        <v>2</v>
      </c>
      <c r="F56" s="30" t="inlineStr">
        <is>
          <t>Yes</t>
        </is>
      </c>
      <c r="G56" s="30" t="inlineStr">
        <is>
          <t>No</t>
        </is>
      </c>
      <c r="H56" s="32" t="n">
        <v>2</v>
      </c>
      <c r="I56" s="30" t="inlineStr">
        <is>
          <t>Owned</t>
        </is>
      </c>
      <c r="J56" s="31" t="inlineStr">
        <is>
          <t>A Kindred Instant, so it triggers Rendmaw — flexible +3/-3 to kill or pump.</t>
        </is>
      </c>
    </row>
    <row r="57" ht="16.5" customHeight="1" s="18">
      <c r="A57" s="30" t="n">
        <v>1</v>
      </c>
      <c r="B57" s="31" t="inlineStr">
        <is>
          <t>Card Advantage</t>
        </is>
      </c>
      <c r="C57" s="31" t="inlineStr">
        <is>
          <t>Reap</t>
        </is>
      </c>
      <c r="D57" s="31" t="inlineStr">
        <is>
          <t>Instant</t>
        </is>
      </c>
      <c r="E57" s="30" t="n">
        <v>2</v>
      </c>
      <c r="F57" s="30" t="n"/>
      <c r="G57" s="30" t="inlineStr">
        <is>
          <t>No</t>
        </is>
      </c>
      <c r="H57" s="32" t="n">
        <v>2</v>
      </c>
      <c r="I57" s="30" t="inlineStr">
        <is>
          <t>Owned</t>
        </is>
      </c>
      <c r="J57" s="31" t="inlineStr">
        <is>
          <t>For {1}{G} at instant speed, return X cards from your graveyard where X = the black permanents an opponent controls — and Rendmaw hands everyone black Birds, so this refills your hand cheaply. Replaces Deadly Dispute.</t>
        </is>
      </c>
    </row>
    <row r="58" ht="16.5" customHeight="1" s="18">
      <c r="A58" s="30" t="n">
        <v>1</v>
      </c>
      <c r="B58" s="31" t="inlineStr">
        <is>
          <t>Card Advantage</t>
        </is>
      </c>
      <c r="C58" s="31" t="inlineStr">
        <is>
          <t>Village Rites</t>
        </is>
      </c>
      <c r="D58" s="31" t="inlineStr">
        <is>
          <t>Instant</t>
        </is>
      </c>
      <c r="E58" s="30" t="n">
        <v>1</v>
      </c>
      <c r="F58" s="30" t="n"/>
      <c r="G58" s="30" t="inlineStr">
        <is>
          <t>No</t>
        </is>
      </c>
      <c r="H58" s="32" t="n">
        <v>1</v>
      </c>
      <c r="I58" s="30" t="inlineStr">
        <is>
          <t>Owned</t>
        </is>
      </c>
      <c r="J58" s="31" t="inlineStr">
        <is>
          <t>Instant-speed sac-for-two-cards — save a creature from removal and refill.</t>
        </is>
      </c>
    </row>
    <row r="59" ht="16.5" customHeight="1" s="18">
      <c r="A59" s="30" t="n">
        <v>1</v>
      </c>
      <c r="B59" s="31" t="inlineStr">
        <is>
          <t>Lands</t>
        </is>
      </c>
      <c r="C59" s="31" t="inlineStr">
        <is>
          <t>Bojuka Bog</t>
        </is>
      </c>
      <c r="D59" s="31" t="inlineStr">
        <is>
          <t>Land</t>
        </is>
      </c>
      <c r="E59" s="30" t="n">
        <v>0</v>
      </c>
      <c r="F59" s="30" t="n"/>
      <c r="G59" s="30" t="inlineStr">
        <is>
          <t>No</t>
        </is>
      </c>
      <c r="H59" s="32" t="n">
        <v>1</v>
      </c>
      <c r="I59" s="30" t="inlineStr">
        <is>
          <t>Owned</t>
        </is>
      </c>
      <c r="J59" s="31" t="inlineStr">
        <is>
          <t>Exiles a graveyard on entry — free graveyard hate.</t>
        </is>
      </c>
    </row>
    <row r="60" ht="16.5" customHeight="1" s="18">
      <c r="A60" s="30" t="n">
        <v>1</v>
      </c>
      <c r="B60" s="31" t="inlineStr">
        <is>
          <t>Lands</t>
        </is>
      </c>
      <c r="C60" s="31" t="inlineStr">
        <is>
          <t>Castle Locthwain</t>
        </is>
      </c>
      <c r="D60" s="31" t="inlineStr">
        <is>
          <t>Land</t>
        </is>
      </c>
      <c r="E60" s="30" t="n">
        <v>0</v>
      </c>
      <c r="F60" s="30" t="n"/>
      <c r="G60" s="30" t="inlineStr">
        <is>
          <t>No</t>
        </is>
      </c>
      <c r="H60" s="32" t="n">
        <v>5</v>
      </c>
      <c r="I60" s="30" t="inlineStr">
        <is>
          <t>Owned</t>
        </is>
      </c>
      <c r="J60" s="31" t="inlineStr">
        <is>
          <t>Repeatable card draw that gets better as your hand empties.</t>
        </is>
      </c>
    </row>
    <row r="61" ht="16.5" customHeight="1" s="18">
      <c r="A61" s="30" t="n">
        <v>1</v>
      </c>
      <c r="B61" s="31" t="inlineStr">
        <is>
          <t>Lands</t>
        </is>
      </c>
      <c r="C61" s="31" t="inlineStr">
        <is>
          <t>Cavern of Souls</t>
        </is>
      </c>
      <c r="D61" s="31" t="inlineStr">
        <is>
          <t>Land</t>
        </is>
      </c>
      <c r="E61" s="30" t="n">
        <v>0</v>
      </c>
      <c r="F61" s="30" t="n"/>
      <c r="G61" s="30" t="inlineStr">
        <is>
          <t>No</t>
        </is>
      </c>
      <c r="H61" s="32" t="n">
        <v>40</v>
      </c>
      <c r="I61" s="30" t="inlineStr">
        <is>
          <t>Owned</t>
        </is>
      </c>
      <c r="J61" s="31" t="n"/>
    </row>
    <row r="62" ht="16.5" customHeight="1" s="18">
      <c r="A62" s="30" t="n">
        <v>1</v>
      </c>
      <c r="B62" s="31" t="inlineStr">
        <is>
          <t>Lands</t>
        </is>
      </c>
      <c r="C62" s="31" t="inlineStr">
        <is>
          <t>Command Tower</t>
        </is>
      </c>
      <c r="D62" s="31" t="inlineStr">
        <is>
          <t>Land</t>
        </is>
      </c>
      <c r="E62" s="30" t="n">
        <v>0</v>
      </c>
      <c r="F62" s="30" t="n"/>
      <c r="G62" s="30" t="inlineStr">
        <is>
          <t>No</t>
        </is>
      </c>
      <c r="H62" s="32" t="n">
        <v>1</v>
      </c>
      <c r="I62" s="30" t="inlineStr">
        <is>
          <t>Owned</t>
        </is>
      </c>
      <c r="J62" s="31" t="inlineStr">
        <is>
          <t>Taps for both your colors — the best fixing land in Commander.</t>
        </is>
      </c>
    </row>
    <row r="63" ht="16.5" customHeight="1" s="18">
      <c r="A63" s="30" t="n">
        <v>1</v>
      </c>
      <c r="B63" s="31" t="inlineStr">
        <is>
          <t>Lands</t>
        </is>
      </c>
      <c r="C63" s="31" t="inlineStr">
        <is>
          <t>Darkbore Pathway</t>
        </is>
      </c>
      <c r="D63" s="31" t="inlineStr">
        <is>
          <t>Land</t>
        </is>
      </c>
      <c r="E63" s="30" t="n">
        <v>0</v>
      </c>
      <c r="F63" s="30" t="n"/>
      <c r="G63" s="30" t="inlineStr">
        <is>
          <t>No</t>
        </is>
      </c>
      <c r="H63" s="32" t="n">
        <v>5</v>
      </c>
      <c r="I63" s="30" t="inlineStr">
        <is>
          <t>Owned</t>
        </is>
      </c>
      <c r="J63" s="31" t="inlineStr">
        <is>
          <t>Modal land — enters untapped as a Swamp or a Forest.</t>
        </is>
      </c>
    </row>
    <row r="64" ht="16.5" customHeight="1" s="18">
      <c r="A64" s="30" t="n">
        <v>1</v>
      </c>
      <c r="B64" s="31" t="inlineStr">
        <is>
          <t>Lands</t>
        </is>
      </c>
      <c r="C64" s="31" t="inlineStr">
        <is>
          <t>Darkmoss Bridge</t>
        </is>
      </c>
      <c r="D64" s="31" t="inlineStr">
        <is>
          <t>Land</t>
        </is>
      </c>
      <c r="E64" s="30" t="n">
        <v>0</v>
      </c>
      <c r="F64" s="30" t="inlineStr">
        <is>
          <t>Yes</t>
        </is>
      </c>
      <c r="G64" s="30" t="inlineStr">
        <is>
          <t>No</t>
        </is>
      </c>
      <c r="H64" s="32" t="n">
        <v>1</v>
      </c>
      <c r="I64" s="30" t="inlineStr">
        <is>
          <t>Owned</t>
        </is>
      </c>
      <c r="J64" s="31" t="inlineStr">
        <is>
          <t>Cheap, reliable B/G tapland.</t>
        </is>
      </c>
    </row>
    <row r="65" ht="16.5" customHeight="1" s="18">
      <c r="A65" s="30" t="n">
        <v>1</v>
      </c>
      <c r="B65" s="31" t="inlineStr">
        <is>
          <t>Lands</t>
        </is>
      </c>
      <c r="C65" s="31" t="inlineStr">
        <is>
          <t>Darksteel Citadel</t>
        </is>
      </c>
      <c r="D65" s="31" t="inlineStr">
        <is>
          <t>Land</t>
        </is>
      </c>
      <c r="E65" s="30" t="n">
        <v>0</v>
      </c>
      <c r="F65" s="30" t="inlineStr">
        <is>
          <t>Yes</t>
        </is>
      </c>
      <c r="G65" s="30" t="inlineStr">
        <is>
          <t>No</t>
        </is>
      </c>
      <c r="H65" s="32" t="n">
        <v>1</v>
      </c>
      <c r="I65" s="30" t="inlineStr">
        <is>
          <t>Owned</t>
        </is>
      </c>
      <c r="J65" s="31" t="inlineStr">
        <is>
          <t>Indestructible Artifact Land (taps colorless): a resilient Rendmaw trigger in the mana base.</t>
        </is>
      </c>
    </row>
    <row r="66" ht="16.5" customHeight="1" s="18">
      <c r="A66" s="30" t="n">
        <v>1</v>
      </c>
      <c r="B66" s="31" t="inlineStr">
        <is>
          <t>Lands</t>
        </is>
      </c>
      <c r="C66" s="31" t="inlineStr">
        <is>
          <t>Deathcap Glade</t>
        </is>
      </c>
      <c r="D66" s="31" t="inlineStr">
        <is>
          <t>Land</t>
        </is>
      </c>
      <c r="E66" s="30" t="n">
        <v>0</v>
      </c>
      <c r="F66" s="30" t="n"/>
      <c r="G66" s="30" t="inlineStr">
        <is>
          <t>No</t>
        </is>
      </c>
      <c r="H66" s="32" t="n">
        <v>3</v>
      </c>
      <c r="I66" s="30" t="inlineStr">
        <is>
          <t>Owned</t>
        </is>
      </c>
      <c r="J66" s="31" t="inlineStr">
        <is>
          <t>B/G "slow" dual — enters untapped once you control two other lands.</t>
        </is>
      </c>
    </row>
    <row r="67" ht="16.5" customHeight="1" s="18">
      <c r="A67" s="30" t="n">
        <v>1</v>
      </c>
      <c r="B67" s="31" t="inlineStr">
        <is>
          <t>Lands</t>
        </is>
      </c>
      <c r="C67" s="31" t="inlineStr">
        <is>
          <t>Dryad Arbor</t>
        </is>
      </c>
      <c r="D67" s="31" t="inlineStr">
        <is>
          <t>Land</t>
        </is>
      </c>
      <c r="E67" s="30" t="n">
        <v>0</v>
      </c>
      <c r="F67" s="30" t="inlineStr">
        <is>
          <t>Yes</t>
        </is>
      </c>
      <c r="G67" s="30" t="inlineStr">
        <is>
          <t>No</t>
        </is>
      </c>
      <c r="H67" s="32" t="n">
        <v>5</v>
      </c>
      <c r="I67" s="30" t="inlineStr">
        <is>
          <t>Owned</t>
        </is>
      </c>
      <c r="J67" s="31" t="inlineStr">
        <is>
          <t>Land Creature — a Rendmaw trigger you can play from hand, a ramp target, and disposable blocker/sac fodder.</t>
        </is>
      </c>
    </row>
    <row r="68" ht="16.5" customHeight="1" s="18">
      <c r="A68" s="30" t="n">
        <v>7</v>
      </c>
      <c r="B68" s="31" t="inlineStr">
        <is>
          <t>Lands</t>
        </is>
      </c>
      <c r="C68" s="31" t="inlineStr">
        <is>
          <t>Forest</t>
        </is>
      </c>
      <c r="D68" s="31" t="inlineStr">
        <is>
          <t>Land</t>
        </is>
      </c>
      <c r="E68" s="30" t="n">
        <v>0</v>
      </c>
      <c r="F68" s="30" t="n"/>
      <c r="G68" s="30" t="inlineStr">
        <is>
          <t>No</t>
        </is>
      </c>
      <c r="H68" s="32" t="n">
        <v>0.1</v>
      </c>
      <c r="I68" s="30" t="inlineStr">
        <is>
          <t>Owned</t>
        </is>
      </c>
      <c r="J68" s="31" t="inlineStr">
        <is>
          <t>Basic Forest.</t>
        </is>
      </c>
    </row>
    <row r="69" ht="16.5" customHeight="1" s="18">
      <c r="A69" s="30" t="n">
        <v>1</v>
      </c>
      <c r="B69" s="31" t="inlineStr">
        <is>
          <t>Lands</t>
        </is>
      </c>
      <c r="C69" s="31" t="inlineStr">
        <is>
          <t>Golgari Rot Farm</t>
        </is>
      </c>
      <c r="D69" s="31" t="inlineStr">
        <is>
          <t>Land</t>
        </is>
      </c>
      <c r="E69" s="30" t="n">
        <v>0</v>
      </c>
      <c r="F69" s="30" t="n"/>
      <c r="G69" s="30" t="inlineStr">
        <is>
          <t>No</t>
        </is>
      </c>
      <c r="H69" s="32" t="n">
        <v>1</v>
      </c>
      <c r="I69" s="30" t="inlineStr">
        <is>
          <t>Owned</t>
        </is>
      </c>
      <c r="J69" s="31" t="inlineStr">
        <is>
          <t>Karoo bounce land — taps for two mana of your colors.</t>
        </is>
      </c>
    </row>
    <row r="70" ht="16.5" customHeight="1" s="18">
      <c r="A70" s="30" t="n">
        <v>1</v>
      </c>
      <c r="B70" s="31" t="inlineStr">
        <is>
          <t>Lands</t>
        </is>
      </c>
      <c r="C70" s="31" t="inlineStr">
        <is>
          <t>Grim Backwoods</t>
        </is>
      </c>
      <c r="D70" s="31" t="inlineStr">
        <is>
          <t>Land</t>
        </is>
      </c>
      <c r="E70" s="30" t="n">
        <v>0</v>
      </c>
      <c r="F70" s="30" t="n"/>
      <c r="G70" s="30" t="inlineStr">
        <is>
          <t>No</t>
        </is>
      </c>
      <c r="H70" s="32" t="n">
        <v>1</v>
      </c>
      <c r="I70" s="30" t="inlineStr">
        <is>
          <t>Owned</t>
        </is>
      </c>
      <c r="J70" s="31" t="inlineStr">
        <is>
          <t>Utility land: sacrifice a creature to draw — an extra sac outlet in the mana base.</t>
        </is>
      </c>
    </row>
    <row r="71" ht="16.5" customHeight="1" s="18">
      <c r="A71" s="30" t="n">
        <v>1</v>
      </c>
      <c r="B71" s="31" t="inlineStr">
        <is>
          <t>Lands</t>
        </is>
      </c>
      <c r="C71" s="31" t="inlineStr">
        <is>
          <t>High Market</t>
        </is>
      </c>
      <c r="D71" s="31" t="inlineStr">
        <is>
          <t>Land</t>
        </is>
      </c>
      <c r="E71" s="30" t="n">
        <v>0</v>
      </c>
      <c r="F71" s="30" t="n"/>
      <c r="G71" s="30" t="inlineStr">
        <is>
          <t>No</t>
        </is>
      </c>
      <c r="H71" s="32" t="n">
        <v>3</v>
      </c>
      <c r="I71" s="30" t="inlineStr">
        <is>
          <t>Owned</t>
        </is>
      </c>
      <c r="J71" s="31" t="inlineStr">
        <is>
          <t>A land that doubles as a free sac outlet with lifegain.</t>
        </is>
      </c>
    </row>
    <row r="72" ht="16.5" customHeight="1" s="18">
      <c r="A72" s="30" t="n">
        <v>1</v>
      </c>
      <c r="B72" s="31" t="inlineStr">
        <is>
          <t>Lands</t>
        </is>
      </c>
      <c r="C72" s="31" t="inlineStr">
        <is>
          <t>Khalni Garden</t>
        </is>
      </c>
      <c r="D72" s="31" t="inlineStr">
        <is>
          <t>Land</t>
        </is>
      </c>
      <c r="E72" s="30" t="n">
        <v>0</v>
      </c>
      <c r="F72" s="30" t="n"/>
      <c r="G72" s="30" t="inlineStr">
        <is>
          <t>No</t>
        </is>
      </c>
      <c r="H72" s="32" t="n">
        <v>1</v>
      </c>
      <c r="I72" s="30" t="inlineStr">
        <is>
          <t>Owned</t>
        </is>
      </c>
      <c r="J72" s="31" t="inlineStr">
        <is>
          <t>Enters tapped but makes a 0/1 Plant — a free token and chump/sac fodder.</t>
        </is>
      </c>
    </row>
    <row r="73" ht="16.5" customHeight="1" s="18">
      <c r="A73" s="30" t="n">
        <v>1</v>
      </c>
      <c r="B73" s="31" t="inlineStr">
        <is>
          <t>Lands</t>
        </is>
      </c>
      <c r="C73" s="31" t="inlineStr">
        <is>
          <t>Llanowar Wastes</t>
        </is>
      </c>
      <c r="D73" s="31" t="inlineStr">
        <is>
          <t>Land</t>
        </is>
      </c>
      <c r="E73" s="30" t="n">
        <v>0</v>
      </c>
      <c r="F73" s="30" t="n"/>
      <c r="G73" s="30" t="inlineStr">
        <is>
          <t>No</t>
        </is>
      </c>
      <c r="H73" s="32" t="n">
        <v>5</v>
      </c>
      <c r="I73" s="30" t="inlineStr">
        <is>
          <t>Owned</t>
        </is>
      </c>
      <c r="J73" s="31" t="inlineStr">
        <is>
          <t>Painland — untapped colored mana whenever you need it.</t>
        </is>
      </c>
    </row>
    <row r="74" ht="16.5" customHeight="1" s="18">
      <c r="A74" s="30" t="n">
        <v>1</v>
      </c>
      <c r="B74" s="31" t="inlineStr">
        <is>
          <t>Lands</t>
        </is>
      </c>
      <c r="C74" s="31" t="inlineStr">
        <is>
          <t>Necroblossom Snarl</t>
        </is>
      </c>
      <c r="D74" s="31" t="inlineStr">
        <is>
          <t>Land</t>
        </is>
      </c>
      <c r="E74" s="30" t="n">
        <v>0</v>
      </c>
      <c r="F74" s="30" t="n"/>
      <c r="G74" s="30" t="inlineStr">
        <is>
          <t>No</t>
        </is>
      </c>
      <c r="H74" s="32" t="n">
        <v>1</v>
      </c>
      <c r="I74" s="30" t="inlineStr">
        <is>
          <t>Owned</t>
        </is>
      </c>
      <c r="J74" s="31" t="inlineStr">
        <is>
          <t>Reveal-a-land dual — untapped if you show a Swamp or Forest.</t>
        </is>
      </c>
    </row>
    <row r="75" ht="16.5" customHeight="1" s="18">
      <c r="A75" s="30" t="n">
        <v>1</v>
      </c>
      <c r="B75" s="31" t="inlineStr">
        <is>
          <t>Lands</t>
        </is>
      </c>
      <c r="C75" s="31" t="inlineStr">
        <is>
          <t>Overgrown Tomb</t>
        </is>
      </c>
      <c r="D75" s="31" t="inlineStr">
        <is>
          <t>Land</t>
        </is>
      </c>
      <c r="E75" s="30" t="n">
        <v>0</v>
      </c>
      <c r="F75" s="30" t="n"/>
      <c r="G75" s="30" t="inlineStr">
        <is>
          <t>No</t>
        </is>
      </c>
      <c r="H75" s="32" t="n">
        <v>10</v>
      </c>
      <c r="I75" s="30" t="inlineStr">
        <is>
          <t>Owned</t>
        </is>
      </c>
      <c r="J75" s="31" t="inlineStr">
        <is>
          <t>Golgari shock land — untapped dual with basic land types.</t>
        </is>
      </c>
    </row>
    <row r="76" ht="16.5" customHeight="1" s="18">
      <c r="A76" s="30" t="n">
        <v>6</v>
      </c>
      <c r="B76" s="31" t="inlineStr">
        <is>
          <t>Lands</t>
        </is>
      </c>
      <c r="C76" s="31" t="inlineStr">
        <is>
          <t>Swamp</t>
        </is>
      </c>
      <c r="D76" s="31" t="inlineStr">
        <is>
          <t>Land</t>
        </is>
      </c>
      <c r="E76" s="30" t="n">
        <v>0</v>
      </c>
      <c r="F76" s="30" t="n"/>
      <c r="G76" s="30" t="inlineStr">
        <is>
          <t>No</t>
        </is>
      </c>
      <c r="H76" s="32" t="n">
        <v>0.1</v>
      </c>
      <c r="I76" s="30" t="inlineStr">
        <is>
          <t>Owned</t>
        </is>
      </c>
      <c r="J76" s="31" t="inlineStr">
        <is>
          <t>Basic Swamp.</t>
        </is>
      </c>
    </row>
    <row r="77" ht="16.5" customHeight="1" s="18">
      <c r="A77" s="30" t="n">
        <v>1</v>
      </c>
      <c r="B77" s="31" t="inlineStr">
        <is>
          <t>Lands</t>
        </is>
      </c>
      <c r="C77" s="31" t="inlineStr">
        <is>
          <t>Tainted Wood</t>
        </is>
      </c>
      <c r="D77" s="31" t="inlineStr">
        <is>
          <t>Land</t>
        </is>
      </c>
      <c r="E77" s="30" t="n">
        <v>0</v>
      </c>
      <c r="F77" s="30" t="n"/>
      <c r="G77" s="30" t="inlineStr">
        <is>
          <t>No</t>
        </is>
      </c>
      <c r="H77" s="32" t="n">
        <v>1</v>
      </c>
      <c r="I77" s="30" t="inlineStr">
        <is>
          <t>Owned</t>
        </is>
      </c>
      <c r="J77" s="31" t="inlineStr">
        <is>
          <t>Taps for black, or green while you control a Swamp.</t>
        </is>
      </c>
    </row>
    <row r="78" ht="16.5" customHeight="1" s="18">
      <c r="A78" s="30" t="n">
        <v>1</v>
      </c>
      <c r="B78" s="31" t="inlineStr">
        <is>
          <t>Lands</t>
        </is>
      </c>
      <c r="C78" s="31" t="inlineStr">
        <is>
          <t>Treasure Vault</t>
        </is>
      </c>
      <c r="D78" s="31" t="inlineStr">
        <is>
          <t>Land</t>
        </is>
      </c>
      <c r="E78" s="30" t="n">
        <v>0</v>
      </c>
      <c r="F78" s="30" t="inlineStr">
        <is>
          <t>Yes</t>
        </is>
      </c>
      <c r="G78" s="30" t="inlineStr">
        <is>
          <t>No</t>
        </is>
      </c>
      <c r="H78" s="32" t="n">
        <v>4</v>
      </c>
      <c r="I78" s="30" t="inlineStr">
        <is>
          <t>Owned</t>
        </is>
      </c>
      <c r="J78" s="31" t="inlineStr">
        <is>
          <t>Artifact Land — a Rendmaw trigger built into the mana base. Taps for colorless; late game, sacrifice for a pile of Treasures ({X}{X},T,Sac: make X). Replaces a basic Swamp.</t>
        </is>
      </c>
    </row>
    <row r="79" ht="16.5" customHeight="1" s="18">
      <c r="A79" s="30" t="n">
        <v>1</v>
      </c>
      <c r="B79" s="31" t="inlineStr">
        <is>
          <t>Lands</t>
        </is>
      </c>
      <c r="C79" s="31" t="inlineStr">
        <is>
          <t>Vault of Whispers</t>
        </is>
      </c>
      <c r="D79" s="31" t="inlineStr">
        <is>
          <t>Land</t>
        </is>
      </c>
      <c r="E79" s="30" t="n">
        <v>0</v>
      </c>
      <c r="F79" s="30" t="inlineStr">
        <is>
          <t>Yes</t>
        </is>
      </c>
      <c r="G79" s="30" t="inlineStr">
        <is>
          <t>No</t>
        </is>
      </c>
      <c r="H79" s="32" t="n">
        <v>2</v>
      </c>
      <c r="I79" s="30" t="inlineStr">
        <is>
          <t>Owned</t>
        </is>
      </c>
      <c r="J79" s="31" t="inlineStr">
        <is>
          <t>Artifact Land (taps black): a Rendmaw trigger built right into the mana base.</t>
        </is>
      </c>
    </row>
    <row r="80" ht="16.5" customHeight="1" s="18">
      <c r="A80" s="30" t="n">
        <v>1</v>
      </c>
      <c r="B80" s="31" t="inlineStr">
        <is>
          <t>Lands</t>
        </is>
      </c>
      <c r="C80" s="31" t="inlineStr">
        <is>
          <t>Witch's Cottage</t>
        </is>
      </c>
      <c r="D80" s="31" t="inlineStr">
        <is>
          <t>Land</t>
        </is>
      </c>
      <c r="E80" s="30" t="n">
        <v>0</v>
      </c>
      <c r="F80" s="30" t="n"/>
      <c r="G80" s="30" t="inlineStr">
        <is>
          <t>No</t>
        </is>
      </c>
      <c r="H80" s="32" t="n">
        <v>1</v>
      </c>
      <c r="I80" s="30" t="inlineStr">
        <is>
          <t>Owned</t>
        </is>
      </c>
      <c r="J80" s="31" t="inlineStr">
        <is>
          <t>Puts a creature from your graveyard on top of your library on entry.</t>
        </is>
      </c>
    </row>
    <row r="81" ht="16.5" customHeight="1" s="18">
      <c r="A81" s="30" t="n">
        <v>1</v>
      </c>
      <c r="B81" s="31" t="inlineStr">
        <is>
          <t>Lands</t>
        </is>
      </c>
      <c r="C81" s="31" t="inlineStr">
        <is>
          <t>Woodland Chasm</t>
        </is>
      </c>
      <c r="D81" s="31" t="inlineStr">
        <is>
          <t>Land</t>
        </is>
      </c>
      <c r="E81" s="30" t="n">
        <v>0</v>
      </c>
      <c r="F81" s="30" t="n"/>
      <c r="G81" s="30" t="inlineStr">
        <is>
          <t>No</t>
        </is>
      </c>
      <c r="H81" s="32" t="n">
        <v>1</v>
      </c>
      <c r="I81" s="30" t="inlineStr">
        <is>
          <t>Owned</t>
        </is>
      </c>
      <c r="J81" s="31" t="inlineStr">
        <is>
          <t>Snow B/G tapland — fixes colors and enables snow synergies.</t>
        </is>
      </c>
    </row>
    <row r="82" ht="16.5" customHeight="1" s="18">
      <c r="A82" s="30" t="n">
        <v>1</v>
      </c>
      <c r="B82" s="31" t="inlineStr">
        <is>
          <t>Removal &amp; Interaction</t>
        </is>
      </c>
      <c r="C82" s="31" t="inlineStr">
        <is>
          <t>Culling Ritual</t>
        </is>
      </c>
      <c r="D82" s="31" t="inlineStr">
        <is>
          <t>Sorcery</t>
        </is>
      </c>
      <c r="E82" s="30" t="n">
        <v>4</v>
      </c>
      <c r="F82" s="30" t="n"/>
      <c r="G82" s="30" t="inlineStr">
        <is>
          <t>Yes</t>
        </is>
      </c>
      <c r="H82" s="32" t="n">
        <v>2</v>
      </c>
      <c r="I82" s="30" t="inlineStr">
        <is>
          <t>Owned</t>
        </is>
      </c>
      <c r="J82" s="31" t="inlineStr">
        <is>
          <t>Wipes all small nonland permanents (MV 2 or less) and ramps B/G for each. Note: it clears YOUR tokens too — best as a drain/reset with a Blood Artist online, or when behind.</t>
        </is>
      </c>
    </row>
    <row r="83" ht="16.5" customHeight="1" s="18">
      <c r="A83" s="30" t="n">
        <v>1</v>
      </c>
      <c r="B83" s="31" t="inlineStr">
        <is>
          <t>Token Payoffs</t>
        </is>
      </c>
      <c r="C83" s="31" t="inlineStr">
        <is>
          <t>Overwhelming Stampede</t>
        </is>
      </c>
      <c r="D83" s="31" t="inlineStr">
        <is>
          <t>Sorcery</t>
        </is>
      </c>
      <c r="E83" s="30" t="n">
        <v>5</v>
      </c>
      <c r="F83" s="30" t="n"/>
      <c r="G83" s="30" t="inlineStr">
        <is>
          <t>No</t>
        </is>
      </c>
      <c r="H83" s="32" t="n">
        <v>3</v>
      </c>
      <c r="I83" s="30" t="inlineStr">
        <is>
          <t>Owned</t>
        </is>
      </c>
      <c r="J83" s="31" t="inlineStr">
        <is>
          <t>Overrun-style finisher: pumps the team and grants trample for a lethal alpha strike.</t>
        </is>
      </c>
    </row>
    <row r="84" ht="16.5" customHeight="1" s="18">
      <c r="A84" s="30" t="n">
        <v>1</v>
      </c>
      <c r="B84" s="31" t="inlineStr">
        <is>
          <t>Removal &amp; Interaction</t>
        </is>
      </c>
      <c r="C84" s="31" t="inlineStr">
        <is>
          <t>Toxic Deluge</t>
        </is>
      </c>
      <c r="D84" s="31" t="inlineStr">
        <is>
          <t>Sorcery</t>
        </is>
      </c>
      <c r="E84" s="30" t="n">
        <v>3</v>
      </c>
      <c r="F84" s="30" t="n"/>
      <c r="G84" s="30" t="inlineStr">
        <is>
          <t>Yes</t>
        </is>
      </c>
      <c r="H84" s="32" t="n">
        <v>20</v>
      </c>
      <c r="I84" s="30" t="inlineStr">
        <is>
          <t>Owned - Other Deck</t>
        </is>
      </c>
      <c r="J84" s="31" t="inlineStr">
        <is>
          <t>Pay X life: all creatures get -X/-X (dodges indestructible). Asymmetric here — size X to sweep the table while your +1/+1-countered board (Metallic Mimic, Steel Overseer) survives. Your recovery/reset button. Replaces Viscera Seer.</t>
        </is>
      </c>
    </row>
    <row r="85" ht="16.5" customHeight="1" s="18">
      <c r="A85" s="30" t="n">
        <v>1</v>
      </c>
      <c r="B85" s="31" t="inlineStr">
        <is>
          <t>Token Payoffs</t>
        </is>
      </c>
      <c r="C85" s="31" t="inlineStr">
        <is>
          <t>Coat of Arms</t>
        </is>
      </c>
      <c r="D85" s="31" t="inlineStr">
        <is>
          <t>Artifact</t>
        </is>
      </c>
      <c r="E85" s="30" t="n">
        <v>5</v>
      </c>
      <c r="F85" s="30" t="n"/>
      <c r="G85" s="30" t="inlineStr">
        <is>
          <t>No</t>
        </is>
      </c>
      <c r="H85" s="32" t="n">
        <v>8</v>
      </c>
      <c r="I85" s="30" t="inlineStr">
        <is>
          <t>Proxy</t>
        </is>
      </c>
      <c r="J85" s="31" t="inlineStr">
        <is>
          <t>Each creature gets +1/+1 for each other creature sharing a type — with Metallic Mimic naming Bird and a wide Bird board your team explodes. Symmetric (also pumps opponents' Birds), so deploy it as a finisher. Replaces Mycoloth.</t>
        </is>
      </c>
    </row>
    <row r="86" ht="16.5" customHeight="1" s="18">
      <c r="A86" s="30" t="n">
        <v>1</v>
      </c>
      <c r="B86" s="31" t="inlineStr">
        <is>
          <t>Ramp &amp; Rocks</t>
        </is>
      </c>
      <c r="C86" s="31" t="inlineStr">
        <is>
          <t>The Great Henge</t>
        </is>
      </c>
      <c r="D86" s="31" t="inlineStr">
        <is>
          <t>Artifact</t>
        </is>
      </c>
      <c r="E86" s="30" t="n">
        <v>9</v>
      </c>
      <c r="F86" s="30" t="n"/>
      <c r="G86" s="30" t="inlineStr">
        <is>
          <t>Yes</t>
        </is>
      </c>
      <c r="H86" s="32" t="n">
        <v>28</v>
      </c>
      <c r="I86" s="30" t="inlineStr">
        <is>
          <t>Proxy</t>
        </is>
      </c>
      <c r="J86" s="31" t="inlineStr">
        <is>
          <t>Legendary Artifact. Costs {X} less where X is your greatest creature's power (often ~{2}{G}{G} with Rendmaw out). Taps for {G}{G} + life; every NONTOKEN creature you play draws a card and enters with a +1/+1 counter. (Mana value is 9, but you rarely pay full.) Replaces Pharika.</t>
        </is>
      </c>
    </row>
    <row r="87" ht="16.5" customHeight="1" s="18">
      <c r="A87" s="30" t="n">
        <v>1</v>
      </c>
      <c r="B87" s="31" t="inlineStr">
        <is>
          <t>Token Payoffs</t>
        </is>
      </c>
      <c r="C87" s="31" t="inlineStr">
        <is>
          <t>Enduring Vitality</t>
        </is>
      </c>
      <c r="D87" s="31" t="inlineStr">
        <is>
          <t>Creature</t>
        </is>
      </c>
      <c r="E87" s="30" t="n">
        <v>3</v>
      </c>
      <c r="F87" s="30" t="inlineStr">
        <is>
          <t>Yes</t>
        </is>
      </c>
      <c r="G87" s="30" t="inlineStr">
        <is>
          <t>Yes</t>
        </is>
      </c>
      <c r="H87" s="32" t="n">
        <v>4</v>
      </c>
      <c r="I87" s="30" t="inlineStr">
        <is>
          <t>Proxy</t>
        </is>
      </c>
      <c r="J87" s="31" t="inlineStr">
        <is>
          <t>Enchantment Creature: Rendmaw trigger. Turns every creature — including your token swarm — into a mana source, and returns as an enchantment when it dies.</t>
        </is>
      </c>
    </row>
    <row r="88" ht="16.5" customHeight="1" s="18">
      <c r="A88" s="30" t="n">
        <v>1</v>
      </c>
      <c r="B88" s="31" t="inlineStr">
        <is>
          <t>Artifacts Matters</t>
        </is>
      </c>
      <c r="C88" s="31" t="inlineStr">
        <is>
          <t>Roaming Throne</t>
        </is>
      </c>
      <c r="D88" s="31" t="inlineStr">
        <is>
          <t>Creature</t>
        </is>
      </c>
      <c r="E88" s="30" t="n">
        <v>4</v>
      </c>
      <c r="F88" s="30" t="inlineStr">
        <is>
          <t>Yes</t>
        </is>
      </c>
      <c r="G88" s="30" t="inlineStr">
        <is>
          <t>Yes</t>
        </is>
      </c>
      <c r="H88" s="32" t="n">
        <v>10</v>
      </c>
      <c r="I88" s="30" t="inlineStr">
        <is>
          <t>Proxy</t>
        </is>
      </c>
      <c r="J88" s="31" t="inlineStr">
        <is>
          <t>Artifact Creature — Golem 4/4, Ward 2 (Rendmaw trigger). Name 'Scarecrow' as it enters and Rendmaw's ability fires an extra time — DOUBLE Birds on every multi-type play. Off-commander, name another type (Insect/Zombie/Snake) to double a different creature's trigger. Replaces Carrion Feeder.</t>
        </is>
      </c>
    </row>
    <row r="89" ht="16.5" customHeight="1" s="18">
      <c r="A89" s="33" t="n">
        <v>1</v>
      </c>
      <c r="B89" s="24" t="inlineStr">
        <is>
          <t>Token Makers</t>
        </is>
      </c>
      <c r="C89" s="24" t="inlineStr">
        <is>
          <t>Bitterblossom</t>
        </is>
      </c>
      <c r="D89" s="24" t="inlineStr">
        <is>
          <t>Enchantment</t>
        </is>
      </c>
      <c r="E89" s="33" t="n">
        <v>2</v>
      </c>
      <c r="F89" s="33" t="inlineStr">
        <is>
          <t>Yes</t>
        </is>
      </c>
      <c r="G89" s="33" t="inlineStr">
        <is>
          <t>Yes</t>
        </is>
      </c>
      <c r="H89" s="34" t="n">
        <v>18</v>
      </c>
      <c r="I89" s="30" t="inlineStr">
        <is>
          <t>Proxy</t>
        </is>
      </c>
      <c r="J89" s="24" t="inlineStr">
        <is>
          <t>Kindred Enchantment — triggers Rendmaw on cast. Makes a 1/1 flying black Faerie every upkeep (lose 1 life): a relentless stream of evasive tokens and fodder. Replaces Yahenni.</t>
        </is>
      </c>
    </row>
    <row r="90" ht="16.5" customHeight="1" s="18">
      <c r="A90" s="33" t="n">
        <v>1</v>
      </c>
      <c r="B90" s="24" t="inlineStr">
        <is>
          <t>Aristocrats &amp; Drain</t>
        </is>
      </c>
      <c r="C90" s="24" t="inlineStr">
        <is>
          <t>The Meathook Massacre</t>
        </is>
      </c>
      <c r="D90" s="24" t="inlineStr">
        <is>
          <t>Enchantment</t>
        </is>
      </c>
      <c r="E90" s="33" t="n">
        <v>2</v>
      </c>
      <c r="F90" s="33" t="n"/>
      <c r="G90" s="33" t="inlineStr">
        <is>
          <t>Yes</t>
        </is>
      </c>
      <c r="H90" s="34" t="n">
        <v>15</v>
      </c>
      <c r="I90" s="30" t="inlineStr">
        <is>
          <t>Proxy</t>
        </is>
      </c>
      <c r="J90" s="24" t="inlineStr">
        <is>
          <t>Legendary Enchantment (X spell). Cast for {X}{B}{B} to give all creatures -X/-X — a scalable wipe you tune to spare your own bigger threats. Then it stays as a drain engine: opponents lose life when your creatures die, you gain life when theirs do. Recur from the graveyard for {2}{B}. Replaces Butcher of Malakir.</t>
        </is>
      </c>
    </row>
    <row r="91" ht="16.5" customHeight="1" s="18">
      <c r="A91" s="33" t="n">
        <v>1</v>
      </c>
      <c r="B91" s="24" t="inlineStr">
        <is>
          <t>Lands</t>
        </is>
      </c>
      <c r="C91" s="24" t="inlineStr">
        <is>
          <t>Tree of Tales</t>
        </is>
      </c>
      <c r="D91" s="24" t="inlineStr">
        <is>
          <t>Land</t>
        </is>
      </c>
      <c r="E91" s="33" t="n">
        <v>0</v>
      </c>
      <c r="F91" s="33" t="inlineStr">
        <is>
          <t>Yes</t>
        </is>
      </c>
      <c r="G91" s="33" t="inlineStr">
        <is>
          <t>No</t>
        </is>
      </c>
      <c r="H91" s="34" t="n">
        <v>3</v>
      </c>
      <c r="I91" s="30" t="inlineStr">
        <is>
          <t>Proxy</t>
        </is>
      </c>
      <c r="J91" s="24" t="inlineStr">
        <is>
          <t>Artifact Land (taps green): a Rendmaw trigger built right into the mana base.</t>
        </is>
      </c>
    </row>
    <row r="92" ht="16.5" customHeight="1" s="18">
      <c r="A92" s="33" t="n">
        <v>1</v>
      </c>
      <c r="B92" s="24" t="inlineStr">
        <is>
          <t>Lands</t>
        </is>
      </c>
      <c r="C92" s="24" t="inlineStr">
        <is>
          <t>Hagra Mauling</t>
        </is>
      </c>
      <c r="D92" s="24" t="inlineStr">
        <is>
          <t>Land</t>
        </is>
      </c>
      <c r="E92" s="33" t="n">
        <v>0</v>
      </c>
      <c r="F92" s="33" t="n"/>
      <c r="G92" s="33" t="inlineStr">
        <is>
          <t>No</t>
        </is>
      </c>
      <c r="H92" s="34" t="n">
        <v>1</v>
      </c>
      <c r="I92" s="30" t="inlineStr">
        <is>
          <t>Need</t>
        </is>
      </c>
      <c r="J92" s="24" t="inlineStr">
        <is>
          <t>Modal land — a removal spell (destroy a creature) or a tapped land when you need the drop.</t>
        </is>
      </c>
    </row>
    <row r="93" ht="16.5" customHeight="1" s="18">
      <c r="A93" s="33" t="n"/>
      <c r="B93" s="24" t="n"/>
      <c r="C93" s="24" t="n"/>
      <c r="D93" s="24" t="n"/>
      <c r="E93" s="33" t="n"/>
      <c r="F93" s="33" t="n"/>
      <c r="G93" s="33" t="n"/>
      <c r="H93" s="34" t="n"/>
      <c r="I93" s="33" t="n"/>
      <c r="J93" s="24" t="n"/>
    </row>
  </sheetData>
  <autoFilter ref="A3:J93">
    <sortState ref="A4:J93">
      <sortCondition ref="A4:A93" customList=""/>
    </sortState>
  </autoFilter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&amp;R&amp;"Aptos,Regular"&amp;1  UNCLASSIFIED - NON CLASSIFIÉ#_x000d_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2026-06-23T00:47:51Z</dcterms:created>
  <dcterms:modified xsi:type="dcterms:W3CDTF">2026-09-04T02:29:17Z</dcterms:modified>
  <cp:revision>1</cp:revision>
</cp:coreProperties>
</file>