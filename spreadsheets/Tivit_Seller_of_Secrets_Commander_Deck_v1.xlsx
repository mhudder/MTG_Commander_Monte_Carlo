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list" sheetId="1" state="visible" r:id="rId1"/>
    <sheet name="Dashboard" sheetId="2" state="visible" r:id="rId2"/>
  </sheets>
  <definedNames>
    <definedName name="_xlnm._FilterDatabase" localSheetId="0" hidden="1">'Decklist'!$A$3:$J$90</definedName>
  </definedNames>
  <calcPr calcId="124519" fullCalcOnLoad="1"/>
</workbook>
</file>

<file path=xl/styles.xml><?xml version="1.0" encoding="utf-8"?>
<styleSheet xmlns="http://schemas.openxmlformats.org/spreadsheetml/2006/main">
  <numFmts count="2">
    <numFmt numFmtId="164" formatCode="\$#,##0.00"/>
    <numFmt numFmtId="165" formatCode="0.0000"/>
  </numFmts>
  <fonts count="9">
    <font>
      <name val="Calibri"/>
      <family val="2"/>
      <color theme="1"/>
      <sz val="11"/>
      <scheme val="minor"/>
    </font>
    <font>
      <name val="Segoe UI"/>
      <b val="1"/>
      <color rgb="FF4B3F72"/>
      <sz val="18"/>
    </font>
    <font>
      <name val="Segoe UI"/>
      <b val="1"/>
      <color rgb="FFFFFFFF"/>
      <sz val="11"/>
    </font>
    <font>
      <name val="Segoe UI"/>
      <sz val="11"/>
    </font>
    <font>
      <name val="Segoe UI"/>
      <color rgb="FF555555"/>
      <sz val="12"/>
    </font>
    <font>
      <name val="Segoe UI"/>
      <b val="1"/>
      <color rgb="FF4B3F72"/>
      <sz val="14"/>
    </font>
    <font>
      <name val="Segoe UI"/>
      <b val="1"/>
      <sz val="11"/>
    </font>
    <font>
      <name val="Segoe UI"/>
      <color rgb="FF777777"/>
      <sz val="9"/>
    </font>
    <font>
      <name val="Segoe UI"/>
      <color rgb="FF555555"/>
      <sz val="10"/>
    </font>
  </fonts>
  <fills count="4">
    <fill>
      <patternFill/>
    </fill>
    <fill>
      <patternFill patternType="gray125"/>
    </fill>
    <fill>
      <patternFill patternType="solid">
        <fgColor rgb="FF4B3F72"/>
      </patternFill>
    </fill>
    <fill>
      <patternFill patternType="solid">
        <fgColor rgb="FFFFFF00"/>
      </patternFill>
    </fill>
  </fills>
  <borders count="2">
    <border>
      <left/>
      <right/>
      <top/>
      <bottom/>
      <diagonal/>
    </border>
    <border>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3" fillId="0" borderId="1" applyAlignment="1" pivotButton="0" quotePrefix="0" xfId="0">
      <alignment horizontal="center"/>
    </xf>
    <xf numFmtId="0" fontId="3" fillId="0" borderId="1" pivotButton="0" quotePrefix="0" xfId="0"/>
    <xf numFmtId="164" fontId="3" fillId="0" borderId="1" applyAlignment="1" pivotButton="0" quotePrefix="0" xfId="0">
      <alignment horizontal="right"/>
    </xf>
    <xf numFmtId="0" fontId="3" fillId="0" borderId="1" applyAlignment="1" pivotButton="0" quotePrefix="0" xfId="0">
      <alignment wrapText="1"/>
    </xf>
    <xf numFmtId="0" fontId="4" fillId="0" borderId="0" pivotButton="0" quotePrefix="0" xfId="0"/>
    <xf numFmtId="0" fontId="5" fillId="0" borderId="0" pivotButton="0" quotePrefix="0" xfId="0"/>
    <xf numFmtId="0" fontId="2" fillId="2" borderId="0" applyAlignment="1" pivotButton="0" quotePrefix="0" xfId="0">
      <alignment horizontal="center"/>
    </xf>
    <xf numFmtId="0" fontId="6" fillId="0" borderId="0" pivotButton="0" quotePrefix="0" xfId="0"/>
    <xf numFmtId="0" fontId="3" fillId="0" borderId="0" pivotButton="0" quotePrefix="0" xfId="0"/>
    <xf numFmtId="164" fontId="3" fillId="0" borderId="0" pivotButton="0" quotePrefix="0" xfId="0"/>
    <xf numFmtId="165" fontId="3" fillId="3" borderId="0" pivotButton="0" quotePrefix="0" xfId="0"/>
    <xf numFmtId="2" fontId="3"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pane ySplit="3" topLeftCell="A4" activePane="bottomLeft" state="frozen"/>
      <selection pane="bottomLeft" activeCell="A1" sqref="A1"/>
    </sheetView>
  </sheetViews>
  <sheetFormatPr baseColWidth="8" defaultRowHeight="15"/>
  <cols>
    <col width="11" customWidth="1" min="1" max="1"/>
    <col width="26" customWidth="1" min="2" max="2"/>
    <col width="34" customWidth="1" min="3" max="3"/>
    <col width="14" customWidth="1" min="4" max="4"/>
    <col width="11" customWidth="1" min="5" max="5"/>
    <col width="15" customWidth="1" min="6" max="6"/>
    <col width="11" customWidth="1" min="7" max="7"/>
    <col width="16" customWidth="1" min="8" max="8"/>
    <col width="20.57" customWidth="1" min="9" max="9"/>
    <col width="94" customWidth="1" min="10" max="10"/>
  </cols>
  <sheetData>
    <row r="1" ht="22.05" customHeight="1">
      <c r="A1" s="1" t="inlineStr">
        <is>
          <t>Tivit, Seller of Secrets — Comprehensive Decklist (v1)</t>
        </is>
      </c>
    </row>
    <row r="3" ht="27.75" customHeight="1">
      <c r="A3" s="2" t="inlineStr">
        <is>
          <t>Quantity</t>
        </is>
      </c>
      <c r="B3" s="2" t="inlineStr">
        <is>
          <t>Category</t>
        </is>
      </c>
      <c r="C3" s="2" t="inlineStr">
        <is>
          <t>Card Name</t>
        </is>
      </c>
      <c r="D3" s="2" t="inlineStr">
        <is>
          <t>Card Type</t>
        </is>
      </c>
      <c r="E3" s="2" t="inlineStr">
        <is>
          <t>Mana Value</t>
        </is>
      </c>
      <c r="F3" s="2" t="inlineStr">
        <is>
          <t>Colour Identity</t>
        </is>
      </c>
      <c r="G3" s="2" t="inlineStr">
        <is>
          <t>Key Card?</t>
        </is>
      </c>
      <c r="H3" s="2" t="inlineStr">
        <is>
          <t>Est. Cost (USD)</t>
        </is>
      </c>
      <c r="I3" s="2" t="inlineStr">
        <is>
          <t>Collection Status</t>
        </is>
      </c>
      <c r="J3" s="2" t="inlineStr">
        <is>
          <t>Notes &amp; Strategy</t>
        </is>
      </c>
    </row>
    <row r="4" ht="15" customHeight="1">
      <c r="A4" s="3" t="n">
        <v>1</v>
      </c>
      <c r="B4" s="4" t="inlineStr">
        <is>
          <t>Commander</t>
        </is>
      </c>
      <c r="C4" s="4" t="inlineStr">
        <is>
          <t>Tivit, Seller of Secrets</t>
        </is>
      </c>
      <c r="D4" s="4" t="inlineStr">
        <is>
          <t>Creature</t>
        </is>
      </c>
      <c r="E4" s="3" t="n">
        <v>6</v>
      </c>
      <c r="F4" s="4" t="inlineStr">
        <is>
          <t>W/U/B</t>
        </is>
      </c>
      <c r="G4" s="3" t="inlineStr">
        <is>
          <t>Yes</t>
        </is>
      </c>
      <c r="H4" s="5" t="n">
        <v>4.23</v>
      </c>
      <c r="I4" s="4" t="inlineStr">
        <is>
          <t>Needed</t>
        </is>
      </c>
      <c r="J4" s="6" t="inlineStr">
        <is>
          <t>ETB and combat damage: every player votes evidence or bribery, and you vote TWICE. Clues and Treasures either way, so the vote is never bad.</t>
        </is>
      </c>
    </row>
    <row r="5" ht="15" customHeight="1">
      <c r="A5" s="3" t="n">
        <v>1</v>
      </c>
      <c r="B5" s="4" t="inlineStr">
        <is>
          <t>Voting &amp; Council's Dilemma</t>
        </is>
      </c>
      <c r="C5" s="4" t="inlineStr">
        <is>
          <t>Illusion of Choice</t>
        </is>
      </c>
      <c r="D5" s="4" t="inlineStr">
        <is>
          <t>Instant</t>
        </is>
      </c>
      <c r="E5" s="3" t="n">
        <v>1</v>
      </c>
      <c r="F5" s="4" t="inlineStr">
        <is>
          <t>U</t>
        </is>
      </c>
      <c r="G5" s="3" t="inlineStr">
        <is>
          <t>Yes</t>
        </is>
      </c>
      <c r="H5" s="5" t="n">
        <v>2.92</v>
      </c>
      <c r="I5" s="4" t="inlineStr">
        <is>
          <t>Needed</t>
        </is>
      </c>
      <c r="J5" s="6" t="inlineStr">
        <is>
          <t>You choose how EVERY player votes this turn, and draw. Turns any symmetric dilemma into a one-sided one; the best single card here.</t>
        </is>
      </c>
    </row>
    <row r="6" ht="15" customHeight="1">
      <c r="A6" s="3" t="n">
        <v>1</v>
      </c>
      <c r="B6" s="4" t="inlineStr">
        <is>
          <t>Voting &amp; Council's Dilemma</t>
        </is>
      </c>
      <c r="C6" s="4" t="inlineStr">
        <is>
          <t>Grudge Keeper</t>
        </is>
      </c>
      <c r="D6" s="4" t="inlineStr">
        <is>
          <t>Creature</t>
        </is>
      </c>
      <c r="E6" s="3" t="n">
        <v>2</v>
      </c>
      <c r="F6" s="4" t="inlineStr">
        <is>
          <t>B</t>
        </is>
      </c>
      <c r="G6" s="3" t="inlineStr">
        <is>
          <t>No</t>
        </is>
      </c>
      <c r="H6" s="5" t="n">
        <v>0.3</v>
      </c>
      <c r="I6" s="4" t="inlineStr">
        <is>
          <t>Needed</t>
        </is>
      </c>
      <c r="J6" s="6" t="inlineStr">
        <is>
          <t>Each opponent who voted against you loses 2. With Illusion of Choice you pick their votes, so you can force the full 6.</t>
        </is>
      </c>
    </row>
    <row r="7" ht="15" customHeight="1">
      <c r="A7" s="3" t="n">
        <v>1</v>
      </c>
      <c r="B7" s="4" t="inlineStr">
        <is>
          <t>Voting &amp; Council's Dilemma</t>
        </is>
      </c>
      <c r="C7" s="4" t="inlineStr">
        <is>
          <t>Split Decision</t>
        </is>
      </c>
      <c r="D7" s="4" t="inlineStr">
        <is>
          <t>Instant</t>
        </is>
      </c>
      <c r="E7" s="3" t="n">
        <v>2</v>
      </c>
      <c r="F7" s="4" t="inlineStr">
        <is>
          <t>U</t>
        </is>
      </c>
      <c r="G7" s="3" t="inlineStr">
        <is>
          <t>No</t>
        </is>
      </c>
      <c r="H7" s="5" t="n">
        <v>1.84</v>
      </c>
      <c r="I7" s="4" t="inlineStr">
        <is>
          <t>Needed</t>
        </is>
      </c>
      <c r="J7" s="6" t="inlineStr">
        <is>
          <t>Vote to counter a spell or COPY it. Copy your own Expropriate or Torment.</t>
        </is>
      </c>
    </row>
    <row r="8" ht="15" customHeight="1">
      <c r="A8" s="3" t="n">
        <v>1</v>
      </c>
      <c r="B8" s="4" t="inlineStr">
        <is>
          <t>Voting &amp; Council's Dilemma</t>
        </is>
      </c>
      <c r="C8" s="4" t="inlineStr">
        <is>
          <t>Tyrant's Choice</t>
        </is>
      </c>
      <c r="D8" s="4" t="inlineStr">
        <is>
          <t>Sorcery</t>
        </is>
      </c>
      <c r="E8" s="3" t="n">
        <v>2</v>
      </c>
      <c r="F8" s="4" t="inlineStr">
        <is>
          <t>B</t>
        </is>
      </c>
      <c r="G8" s="3" t="inlineStr">
        <is>
          <t>No</t>
        </is>
      </c>
      <c r="H8" s="5" t="n">
        <v>0</v>
      </c>
      <c r="I8" s="4" t="inlineStr">
        <is>
          <t>Needed</t>
        </is>
      </c>
      <c r="J8" s="6" t="inlineStr">
        <is>
          <t>Two mana: each opponent sacrifices a creature, or loses 4 life. Cheapest vote payoff in the deck.</t>
        </is>
      </c>
    </row>
    <row r="9" ht="15" customHeight="1">
      <c r="A9" s="3" t="n">
        <v>1</v>
      </c>
      <c r="B9" s="4" t="inlineStr">
        <is>
          <t>Voting &amp; Council's Dilemma</t>
        </is>
      </c>
      <c r="C9" s="4" t="inlineStr">
        <is>
          <t>Ballot Broker</t>
        </is>
      </c>
      <c r="D9" s="4" t="inlineStr">
        <is>
          <t>Creature</t>
        </is>
      </c>
      <c r="E9" s="3" t="n">
        <v>3</v>
      </c>
      <c r="F9" s="4" t="inlineStr">
        <is>
          <t>W</t>
        </is>
      </c>
      <c r="G9" s="3" t="inlineStr">
        <is>
          <t>No</t>
        </is>
      </c>
      <c r="H9" s="5" t="n">
        <v>0.31</v>
      </c>
      <c r="I9" s="4" t="inlineStr">
        <is>
          <t>Needed</t>
        </is>
      </c>
      <c r="J9" s="6" t="inlineStr">
        <is>
          <t>An additional vote. Stacks with Tivit's own extra vote and with Brago's Representative to control most dilemmas outright.</t>
        </is>
      </c>
    </row>
    <row r="10" ht="15" customHeight="1">
      <c r="A10" s="3" t="n">
        <v>1</v>
      </c>
      <c r="B10" s="4" t="inlineStr">
        <is>
          <t>Voting &amp; Council's Dilemma</t>
        </is>
      </c>
      <c r="C10" s="4" t="inlineStr">
        <is>
          <t>Brago's Representative</t>
        </is>
      </c>
      <c r="D10" s="4" t="inlineStr">
        <is>
          <t>Creature</t>
        </is>
      </c>
      <c r="E10" s="3" t="n">
        <v>3</v>
      </c>
      <c r="F10" s="4" t="inlineStr">
        <is>
          <t>W</t>
        </is>
      </c>
      <c r="G10" s="3" t="inlineStr">
        <is>
          <t>No</t>
        </is>
      </c>
      <c r="H10" s="5" t="n">
        <v>0.28</v>
      </c>
      <c r="I10" s="4" t="inlineStr">
        <is>
          <t>Needed</t>
        </is>
      </c>
      <c r="J10" s="6" t="inlineStr">
        <is>
          <t>A second additional vote. Two of these plus Tivit is a majority in a four-player pod on every will-of-the-council card.</t>
        </is>
      </c>
    </row>
    <row r="11" ht="15" customHeight="1">
      <c r="A11" s="3" t="n">
        <v>1</v>
      </c>
      <c r="B11" s="4" t="inlineStr">
        <is>
          <t>Voting &amp; Council's Dilemma</t>
        </is>
      </c>
      <c r="C11" s="4" t="inlineStr">
        <is>
          <t>Tempt with Bunnies</t>
        </is>
      </c>
      <c r="D11" s="4" t="inlineStr">
        <is>
          <t>Sorcery</t>
        </is>
      </c>
      <c r="E11" s="3" t="n">
        <v>3</v>
      </c>
      <c r="F11" s="4" t="inlineStr">
        <is>
          <t>W</t>
        </is>
      </c>
      <c r="G11" s="3" t="inlineStr">
        <is>
          <t>No</t>
        </is>
      </c>
      <c r="H11" s="5" t="n">
        <v>0</v>
      </c>
      <c r="I11" s="4" t="inlineStr">
        <is>
          <t>Needed</t>
        </is>
      </c>
      <c r="J11" s="6" t="inlineStr">
        <is>
          <t>Tempting offer: cards and Rabbit tokens. Opponents accepting pays YOU again, and every token is a Kambal and Mirkwood Bats trigger.</t>
        </is>
      </c>
    </row>
    <row r="12" ht="15" customHeight="1">
      <c r="A12" s="3" t="n">
        <v>1</v>
      </c>
      <c r="B12" s="4" t="inlineStr">
        <is>
          <t>Voting &amp; Council's Dilemma</t>
        </is>
      </c>
      <c r="C12" s="4" t="inlineStr">
        <is>
          <t>Trial of a Time Lord</t>
        </is>
      </c>
      <c r="D12" s="4" t="inlineStr">
        <is>
          <t>Enchantment</t>
        </is>
      </c>
      <c r="E12" s="3" t="n">
        <v>3</v>
      </c>
      <c r="F12" s="4" t="inlineStr">
        <is>
          <t>W</t>
        </is>
      </c>
      <c r="G12" s="3" t="inlineStr">
        <is>
          <t>No</t>
        </is>
      </c>
      <c r="H12" s="5" t="n">
        <v>0.3</v>
      </c>
      <c r="I12" s="4" t="inlineStr">
        <is>
          <t>Needed</t>
        </is>
      </c>
      <c r="J12" s="6" t="inlineStr">
        <is>
          <t>Three chapters of exile-a-creature, then a vote on whether the cards come back at all. Bottoms them if guilty wins.</t>
        </is>
      </c>
    </row>
    <row r="13" ht="15" customHeight="1">
      <c r="A13" s="3" t="n">
        <v>1</v>
      </c>
      <c r="B13" s="4" t="inlineStr">
        <is>
          <t>Voting &amp; Council's Dilemma</t>
        </is>
      </c>
      <c r="C13" s="4" t="inlineStr">
        <is>
          <t>Bite of the Black Rose</t>
        </is>
      </c>
      <c r="D13" s="4" t="inlineStr">
        <is>
          <t>Sorcery</t>
        </is>
      </c>
      <c r="E13" s="3" t="n">
        <v>4</v>
      </c>
      <c r="F13" s="4" t="inlineStr">
        <is>
          <t>B</t>
        </is>
      </c>
      <c r="G13" s="3" t="inlineStr">
        <is>
          <t>No</t>
        </is>
      </c>
      <c r="H13" s="5" t="n">
        <v>0.48</v>
      </c>
      <c r="I13" s="4" t="inlineStr">
        <is>
          <t>Needed</t>
        </is>
      </c>
      <c r="J13" s="6" t="inlineStr">
        <is>
          <t>Vote: -2/-2 to their creatures, or each opponent discards two. Both modes are fine, which is what makes vote control good.</t>
        </is>
      </c>
    </row>
    <row r="14" ht="15" customHeight="1">
      <c r="A14" s="3" t="n">
        <v>1</v>
      </c>
      <c r="B14" s="4" t="inlineStr">
        <is>
          <t>Voting &amp; Council's Dilemma</t>
        </is>
      </c>
      <c r="C14" s="4" t="inlineStr">
        <is>
          <t>Coercive Portal</t>
        </is>
      </c>
      <c r="D14" s="4" t="inlineStr">
        <is>
          <t>Artifact</t>
        </is>
      </c>
      <c r="E14" s="3" t="n">
        <v>4</v>
      </c>
      <c r="F14" s="4" t="inlineStr">
        <is>
          <t>C</t>
        </is>
      </c>
      <c r="G14" s="3" t="inlineStr">
        <is>
          <t>No</t>
        </is>
      </c>
      <c r="H14" s="5" t="n">
        <v>0</v>
      </c>
      <c r="I14" s="4" t="inlineStr">
        <is>
          <t>Needed</t>
        </is>
      </c>
      <c r="J14" s="6" t="inlineStr">
        <is>
          <t>Upkeep vote: draw a card, or blow up every nonland permanent. You hold the extra votes, so it draws until you want the wrath.</t>
        </is>
      </c>
    </row>
    <row r="15" ht="15" customHeight="1">
      <c r="A15" s="3" t="n">
        <v>1</v>
      </c>
      <c r="B15" s="4" t="inlineStr">
        <is>
          <t>Voting &amp; Council's Dilemma</t>
        </is>
      </c>
      <c r="C15" s="4" t="inlineStr">
        <is>
          <t>Master of Ceremonies</t>
        </is>
      </c>
      <c r="D15" s="4" t="inlineStr">
        <is>
          <t>Creature</t>
        </is>
      </c>
      <c r="E15" s="3" t="n">
        <v>4</v>
      </c>
      <c r="F15" s="4" t="inlineStr">
        <is>
          <t>W</t>
        </is>
      </c>
      <c r="G15" s="3" t="inlineStr">
        <is>
          <t>No</t>
        </is>
      </c>
      <c r="H15" s="5" t="n">
        <v>15.8</v>
      </c>
      <c r="I15" s="4" t="inlineStr">
        <is>
          <t>Needed</t>
        </is>
      </c>
      <c r="J15" s="6" t="inlineStr">
        <is>
          <t>Every upkeep each opponent picks money, friends or secrets and you match them. Treasures, tokens and cards, mirrored to you.</t>
        </is>
      </c>
    </row>
    <row r="16" ht="15" customHeight="1">
      <c r="A16" s="3" t="n">
        <v>1</v>
      </c>
      <c r="B16" s="4" t="inlineStr">
        <is>
          <t>Voting &amp; Council's Dilemma</t>
        </is>
      </c>
      <c r="C16" s="4" t="inlineStr">
        <is>
          <t>Plea for Power</t>
        </is>
      </c>
      <c r="D16" s="4" t="inlineStr">
        <is>
          <t>Sorcery</t>
        </is>
      </c>
      <c r="E16" s="3" t="n">
        <v>4</v>
      </c>
      <c r="F16" s="4" t="inlineStr">
        <is>
          <t>U</t>
        </is>
      </c>
      <c r="G16" s="3" t="inlineStr">
        <is>
          <t>No</t>
        </is>
      </c>
      <c r="H16" s="5" t="n">
        <v>0</v>
      </c>
      <c r="I16" s="4" t="inlineStr">
        <is>
          <t>Needed</t>
        </is>
      </c>
      <c r="J16" s="6" t="inlineStr">
        <is>
          <t>Extra turn or draw three. With vote control it is always the extra turn.</t>
        </is>
      </c>
    </row>
    <row r="17" ht="15" customHeight="1">
      <c r="A17" s="3" t="n">
        <v>1</v>
      </c>
      <c r="B17" s="4" t="inlineStr">
        <is>
          <t>Voting &amp; Council's Dilemma</t>
        </is>
      </c>
      <c r="C17" s="4" t="inlineStr">
        <is>
          <t>Tempting Contract</t>
        </is>
      </c>
      <c r="D17" s="4" t="inlineStr">
        <is>
          <t>Artifact</t>
        </is>
      </c>
      <c r="E17" s="3" t="n">
        <v>4</v>
      </c>
      <c r="F17" s="4" t="inlineStr">
        <is>
          <t>C</t>
        </is>
      </c>
      <c r="G17" s="3" t="inlineStr">
        <is>
          <t>No</t>
        </is>
      </c>
      <c r="H17" s="5" t="n">
        <v>9.91</v>
      </c>
      <c r="I17" s="4" t="inlineStr">
        <is>
          <t>Needed</t>
        </is>
      </c>
      <c r="J17" s="6" t="inlineStr">
        <is>
          <t>Tempting offer for Treasures each upkeep. Opponents who take one hand you one, which Academy Manufactor turns into three artifacts.</t>
        </is>
      </c>
    </row>
    <row r="18" ht="15" customHeight="1">
      <c r="A18" s="3" t="n">
        <v>1</v>
      </c>
      <c r="B18" s="4" t="inlineStr">
        <is>
          <t>Voting &amp; Council's Dilemma</t>
        </is>
      </c>
      <c r="C18" s="4" t="inlineStr">
        <is>
          <t>Vault 11: Voter's Dilemma</t>
        </is>
      </c>
      <c r="D18" s="4" t="inlineStr">
        <is>
          <t>Enchantment</t>
        </is>
      </c>
      <c r="E18" s="3" t="n">
        <v>4</v>
      </c>
      <c r="F18" s="4" t="inlineStr">
        <is>
          <t>W/B</t>
        </is>
      </c>
      <c r="G18" s="3" t="inlineStr">
        <is>
          <t>No</t>
        </is>
      </c>
      <c r="H18" s="5" t="n">
        <v>0.31</v>
      </c>
      <c r="I18" s="4" t="inlineStr">
        <is>
          <t>Needed</t>
        </is>
      </c>
      <c r="J18" s="6" t="inlineStr">
        <is>
          <t>Saga: Soldiers per opponent, then two secret votes that destroy the leading creature. Removal that also builds a board.</t>
        </is>
      </c>
    </row>
    <row r="19" ht="15" customHeight="1">
      <c r="A19" s="3" t="n">
        <v>1</v>
      </c>
      <c r="B19" s="4" t="inlineStr">
        <is>
          <t>Voting &amp; Council's Dilemma</t>
        </is>
      </c>
      <c r="C19" s="4" t="inlineStr">
        <is>
          <t>Custodi Squire</t>
        </is>
      </c>
      <c r="D19" s="4" t="inlineStr">
        <is>
          <t>Creature</t>
        </is>
      </c>
      <c r="E19" s="3" t="n">
        <v>5</v>
      </c>
      <c r="F19" s="4" t="inlineStr">
        <is>
          <t>W</t>
        </is>
      </c>
      <c r="G19" s="3" t="inlineStr">
        <is>
          <t>No</t>
        </is>
      </c>
      <c r="H19" s="5" t="n">
        <v>0.14</v>
      </c>
      <c r="I19" s="4" t="inlineStr">
        <is>
          <t>Needed</t>
        </is>
      </c>
      <c r="J19" s="6" t="inlineStr">
        <is>
          <t>Flier whose ETB vote returns an artifact, creature or enchantment from your yard. Blink it to rebuy repeatedly.</t>
        </is>
      </c>
    </row>
    <row r="20" ht="15" customHeight="1">
      <c r="A20" s="3" t="n">
        <v>1</v>
      </c>
      <c r="B20" s="4" t="inlineStr">
        <is>
          <t>Voting &amp; Council's Dilemma</t>
        </is>
      </c>
      <c r="C20" s="4" t="inlineStr">
        <is>
          <t>Lieutenants of the Guard</t>
        </is>
      </c>
      <c r="D20" s="4" t="inlineStr">
        <is>
          <t>Creature</t>
        </is>
      </c>
      <c r="E20" s="3" t="n">
        <v>5</v>
      </c>
      <c r="F20" s="4" t="inlineStr">
        <is>
          <t>W</t>
        </is>
      </c>
      <c r="G20" s="3" t="inlineStr">
        <is>
          <t>No</t>
        </is>
      </c>
      <c r="H20" s="5" t="n">
        <v>0.2</v>
      </c>
      <c r="I20" s="4" t="inlineStr">
        <is>
          <t>Needed</t>
        </is>
      </c>
      <c r="J20" s="6" t="inlineStr">
        <is>
          <t>ETB dilemma: +1/+1 counters or 1/1 Soldiers. Tokens feed Mirkwood Bats and Kambal either way.</t>
        </is>
      </c>
    </row>
    <row r="21" ht="15" customHeight="1">
      <c r="A21" s="3" t="n">
        <v>1</v>
      </c>
      <c r="B21" s="4" t="inlineStr">
        <is>
          <t>Voting &amp; Council's Dilemma</t>
        </is>
      </c>
      <c r="C21" s="4" t="inlineStr">
        <is>
          <t>Messenger Jays</t>
        </is>
      </c>
      <c r="D21" s="4" t="inlineStr">
        <is>
          <t>Creature</t>
        </is>
      </c>
      <c r="E21" s="3" t="n">
        <v>5</v>
      </c>
      <c r="F21" s="4" t="inlineStr">
        <is>
          <t>U</t>
        </is>
      </c>
      <c r="G21" s="3" t="inlineStr">
        <is>
          <t>No</t>
        </is>
      </c>
      <c r="H21" s="5" t="n">
        <v>0.18</v>
      </c>
      <c r="I21" s="4" t="inlineStr">
        <is>
          <t>Needed</t>
        </is>
      </c>
      <c r="J21" s="6" t="inlineStr">
        <is>
          <t>ETB dilemma: counters or loot. A blink target that refills the hand.</t>
        </is>
      </c>
    </row>
    <row r="22" ht="15" customHeight="1">
      <c r="A22" s="3" t="n">
        <v>1</v>
      </c>
      <c r="B22" s="4" t="inlineStr">
        <is>
          <t>Voting &amp; Council's Dilemma</t>
        </is>
      </c>
      <c r="C22" s="4" t="inlineStr">
        <is>
          <t>Capital Punishment</t>
        </is>
      </c>
      <c r="D22" s="4" t="inlineStr">
        <is>
          <t>Sorcery</t>
        </is>
      </c>
      <c r="E22" s="3" t="n">
        <v>6</v>
      </c>
      <c r="F22" s="4" t="inlineStr">
        <is>
          <t>B</t>
        </is>
      </c>
      <c r="G22" s="3" t="inlineStr">
        <is>
          <t>No</t>
        </is>
      </c>
      <c r="H22" s="5" t="n">
        <v>5.77</v>
      </c>
      <c r="I22" s="4" t="inlineStr">
        <is>
          <t>Needed</t>
        </is>
      </c>
      <c r="J22" s="6" t="inlineStr">
        <is>
          <t>Dilemma: each opponent sacrifices a creature per death vote AND discards per taxes vote. Scales with the number of votes you control.</t>
        </is>
      </c>
    </row>
    <row r="23" ht="15" customHeight="1">
      <c r="A23" s="3" t="n">
        <v>1</v>
      </c>
      <c r="B23" s="4" t="inlineStr">
        <is>
          <t>Voting &amp; Council's Dilemma</t>
        </is>
      </c>
      <c r="C23" s="4" t="inlineStr">
        <is>
          <t>Expropriate</t>
        </is>
      </c>
      <c r="D23" s="4" t="inlineStr">
        <is>
          <t>Sorcery</t>
        </is>
      </c>
      <c r="E23" s="3" t="n">
        <v>9</v>
      </c>
      <c r="F23" s="4" t="inlineStr">
        <is>
          <t>U</t>
        </is>
      </c>
      <c r="G23" s="3" t="inlineStr">
        <is>
          <t>Yes</t>
        </is>
      </c>
      <c r="H23" s="5" t="n">
        <v>15.46</v>
      </c>
      <c r="I23" s="4" t="inlineStr">
        <is>
          <t>Needed</t>
        </is>
      </c>
      <c r="J23" s="6" t="inlineStr">
        <is>
          <t>The deck's top end: extra turns per time vote and steal a permanent per money vote. Tivit's double vote makes it lopsided.</t>
        </is>
      </c>
    </row>
    <row r="24" ht="15" customHeight="1">
      <c r="A24" s="3" t="n">
        <v>1</v>
      </c>
      <c r="B24" s="4" t="inlineStr">
        <is>
          <t>Blink &amp; Reuse</t>
        </is>
      </c>
      <c r="C24" s="4" t="inlineStr">
        <is>
          <t>Ephemerate</t>
        </is>
      </c>
      <c r="D24" s="4" t="inlineStr">
        <is>
          <t>Instant</t>
        </is>
      </c>
      <c r="E24" s="3" t="n">
        <v>1</v>
      </c>
      <c r="F24" s="4" t="inlineStr">
        <is>
          <t>W</t>
        </is>
      </c>
      <c r="G24" s="3" t="inlineStr">
        <is>
          <t>Yes</t>
        </is>
      </c>
      <c r="H24" s="5" t="n">
        <v>5.41</v>
      </c>
      <c r="I24" s="4" t="inlineStr">
        <is>
          <t>Needed</t>
        </is>
      </c>
      <c r="J24" s="6" t="inlineStr">
        <is>
          <t>One mana to re-trigger Tivit, and REBOUND does it again next upkeep. Two full dilemmas for {W}.</t>
        </is>
      </c>
    </row>
    <row r="25" ht="15" customHeight="1">
      <c r="A25" s="3" t="n">
        <v>1</v>
      </c>
      <c r="B25" s="4" t="inlineStr">
        <is>
          <t>Blink &amp; Reuse</t>
        </is>
      </c>
      <c r="C25" s="4" t="inlineStr">
        <is>
          <t>Soulherder</t>
        </is>
      </c>
      <c r="D25" s="4" t="inlineStr">
        <is>
          <t>Creature</t>
        </is>
      </c>
      <c r="E25" s="3" t="n">
        <v>3</v>
      </c>
      <c r="F25" s="4" t="inlineStr">
        <is>
          <t>W/U</t>
        </is>
      </c>
      <c r="G25" s="3" t="inlineStr">
        <is>
          <t>Yes</t>
        </is>
      </c>
      <c r="H25" s="5" t="n">
        <v>1.87</v>
      </c>
      <c r="I25" s="4" t="inlineStr">
        <is>
          <t>Needed</t>
        </is>
      </c>
      <c r="J25" s="6" t="inlineStr">
        <is>
          <t>Free blink every end step and it grows. The engine that makes Tivit's ETB a repeatable draw-and-ramp.</t>
        </is>
      </c>
    </row>
    <row r="26" ht="15" customHeight="1">
      <c r="A26" s="3" t="n">
        <v>1</v>
      </c>
      <c r="B26" s="4" t="inlineStr">
        <is>
          <t>Blink &amp; Reuse</t>
        </is>
      </c>
      <c r="C26" s="4" t="inlineStr">
        <is>
          <t>Displacer Kitten</t>
        </is>
      </c>
      <c r="D26" s="4" t="inlineStr">
        <is>
          <t>Creature</t>
        </is>
      </c>
      <c r="E26" s="3" t="n">
        <v>4</v>
      </c>
      <c r="F26" s="4" t="inlineStr">
        <is>
          <t>U</t>
        </is>
      </c>
      <c r="G26" s="3" t="inlineStr">
        <is>
          <t>Yes</t>
        </is>
      </c>
      <c r="H26" s="5" t="n">
        <v>31.62</v>
      </c>
      <c r="I26" s="4" t="inlineStr">
        <is>
          <t>Needed</t>
        </is>
      </c>
      <c r="J26" s="6" t="inlineStr">
        <is>
          <t>Every noncreature spell blinks a permanent you control. Points at Tivit for a dilemma per spell.</t>
        </is>
      </c>
    </row>
    <row r="27" ht="15" customHeight="1">
      <c r="A27" s="3" t="n">
        <v>1</v>
      </c>
      <c r="B27" s="4" t="inlineStr">
        <is>
          <t>Blink &amp; Reuse</t>
        </is>
      </c>
      <c r="C27" s="4" t="inlineStr">
        <is>
          <t>Teleportation Circle</t>
        </is>
      </c>
      <c r="D27" s="4" t="inlineStr">
        <is>
          <t>Enchantment</t>
        </is>
      </c>
      <c r="E27" s="3" t="n">
        <v>4</v>
      </c>
      <c r="F27" s="4" t="inlineStr">
        <is>
          <t>W</t>
        </is>
      </c>
      <c r="G27" s="3" t="inlineStr">
        <is>
          <t>No</t>
        </is>
      </c>
      <c r="H27" s="5" t="n">
        <v>12.04</v>
      </c>
      <c r="I27" s="4" t="inlineStr">
        <is>
          <t>Needed</t>
        </is>
      </c>
      <c r="J27" s="6" t="inlineStr">
        <is>
          <t>End-step blink for an ARTIFACT or creature -- so it also rebuys Tamiyo's Journal and Coercive Portal, not just Tivit.</t>
        </is>
      </c>
    </row>
    <row r="28" ht="15" customHeight="1">
      <c r="A28" s="3" t="n">
        <v>1</v>
      </c>
      <c r="B28" s="4" t="inlineStr">
        <is>
          <t>Blink &amp; Reuse</t>
        </is>
      </c>
      <c r="C28" s="4" t="inlineStr">
        <is>
          <t>Conjurer's Closet</t>
        </is>
      </c>
      <c r="D28" s="4" t="inlineStr">
        <is>
          <t>Artifact</t>
        </is>
      </c>
      <c r="E28" s="3" t="n">
        <v>5</v>
      </c>
      <c r="F28" s="4" t="inlineStr">
        <is>
          <t>C</t>
        </is>
      </c>
      <c r="G28" s="3" t="inlineStr">
        <is>
          <t>No</t>
        </is>
      </c>
      <c r="H28" s="5" t="n">
        <v>4.21</v>
      </c>
      <c r="I28" s="4" t="inlineStr">
        <is>
          <t>Needed</t>
        </is>
      </c>
      <c r="J28" s="6" t="inlineStr">
        <is>
          <t>End-step blink on a body-free artifact. Harder to remove than the creature-based blinkers.</t>
        </is>
      </c>
    </row>
    <row r="29" ht="15" customHeight="1">
      <c r="A29" s="3" t="n">
        <v>1</v>
      </c>
      <c r="B29" s="4" t="inlineStr">
        <is>
          <t>Blink &amp; Reuse</t>
        </is>
      </c>
      <c r="C29" s="4" t="inlineStr">
        <is>
          <t>Deadeye Navigator</t>
        </is>
      </c>
      <c r="D29" s="4" t="inlineStr">
        <is>
          <t>Creature</t>
        </is>
      </c>
      <c r="E29" s="3" t="n">
        <v>6</v>
      </c>
      <c r="F29" s="4" t="inlineStr">
        <is>
          <t>U</t>
        </is>
      </c>
      <c r="G29" s="3" t="inlineStr">
        <is>
          <t>Yes</t>
        </is>
      </c>
      <c r="H29" s="5" t="n">
        <v>3.36</v>
      </c>
      <c r="I29" s="4" t="inlineStr">
        <is>
          <t>Needed</t>
        </is>
      </c>
      <c r="J29" s="6" t="inlineStr">
        <is>
          <t>Soulbond to Tivit: {1}{U} for a dilemma, as many times as you have mana. The deck's main mana sink.</t>
        </is>
      </c>
    </row>
    <row r="30" ht="15" customHeight="1">
      <c r="A30" s="3" t="n">
        <v>1</v>
      </c>
      <c r="B30" s="4" t="inlineStr">
        <is>
          <t>Token &amp; Artifact Payoffs</t>
        </is>
      </c>
      <c r="C30" s="4" t="inlineStr">
        <is>
          <t>Disciple of the Vault</t>
        </is>
      </c>
      <c r="D30" s="4" t="inlineStr">
        <is>
          <t>Creature</t>
        </is>
      </c>
      <c r="E30" s="3" t="n">
        <v>1</v>
      </c>
      <c r="F30" s="4" t="inlineStr">
        <is>
          <t>B</t>
        </is>
      </c>
      <c r="G30" s="3" t="inlineStr">
        <is>
          <t>No</t>
        </is>
      </c>
      <c r="H30" s="5" t="n">
        <v>0.9</v>
      </c>
      <c r="I30" s="4" t="inlineStr">
        <is>
          <t>Needed</t>
        </is>
      </c>
      <c r="J30" s="6" t="inlineStr">
        <is>
          <t>One mana: an opponent loses 1 for every artifact that hits your yard. Treasures and Clues are artifacts.</t>
        </is>
      </c>
    </row>
    <row r="31" ht="15" customHeight="1">
      <c r="A31" s="3" t="n">
        <v>1</v>
      </c>
      <c r="B31" s="4" t="inlineStr">
        <is>
          <t>Token &amp; Artifact Payoffs</t>
        </is>
      </c>
      <c r="C31" s="4" t="inlineStr">
        <is>
          <t>Time Sieve</t>
        </is>
      </c>
      <c r="D31" s="4" t="inlineStr">
        <is>
          <t>Artifact</t>
        </is>
      </c>
      <c r="E31" s="3" t="n">
        <v>2</v>
      </c>
      <c r="F31" s="4" t="inlineStr">
        <is>
          <t>U/B</t>
        </is>
      </c>
      <c r="G31" s="3" t="inlineStr">
        <is>
          <t>No</t>
        </is>
      </c>
      <c r="H31" s="5" t="n">
        <v>8.77</v>
      </c>
      <c r="I31" s="4" t="inlineStr">
        <is>
          <t>Needed</t>
        </is>
      </c>
      <c r="J31" s="6" t="inlineStr">
        <is>
          <t>Sacrifice five artifacts for an extra turn. Tivit plus Manufactor makes five artifacts in one attack.</t>
        </is>
      </c>
    </row>
    <row r="32" ht="15" customHeight="1">
      <c r="A32" s="3" t="n">
        <v>1</v>
      </c>
      <c r="B32" s="4" t="inlineStr">
        <is>
          <t>Token &amp; Artifact Payoffs</t>
        </is>
      </c>
      <c r="C32" s="4" t="inlineStr">
        <is>
          <t>Academy Manufactor</t>
        </is>
      </c>
      <c r="D32" s="4" t="inlineStr">
        <is>
          <t>Creature</t>
        </is>
      </c>
      <c r="E32" s="3" t="n">
        <v>3</v>
      </c>
      <c r="F32" s="4" t="inlineStr">
        <is>
          <t>C</t>
        </is>
      </c>
      <c r="G32" s="3" t="inlineStr">
        <is>
          <t>Yes</t>
        </is>
      </c>
      <c r="H32" s="5" t="n">
        <v>9.48</v>
      </c>
      <c r="I32" s="4" t="inlineStr">
        <is>
          <t>Needed</t>
        </is>
      </c>
      <c r="J32" s="6" t="inlineStr">
        <is>
          <t>Every Clue or Treasure becomes a Clue AND a Food AND a Treasure. Triples Tivit's output and every other token line in the deck.</t>
        </is>
      </c>
    </row>
    <row r="33" ht="15" customHeight="1">
      <c r="A33" s="3" t="n">
        <v>1</v>
      </c>
      <c r="B33" s="4" t="inlineStr">
        <is>
          <t>Token &amp; Artifact Payoffs</t>
        </is>
      </c>
      <c r="C33" s="4" t="inlineStr">
        <is>
          <t>Kambal, Profiteering Mayor</t>
        </is>
      </c>
      <c r="D33" s="4" t="inlineStr">
        <is>
          <t>Creature</t>
        </is>
      </c>
      <c r="E33" s="3" t="n">
        <v>3</v>
      </c>
      <c r="F33" s="4" t="inlineStr">
        <is>
          <t>W/B</t>
        </is>
      </c>
      <c r="G33" s="3" t="inlineStr">
        <is>
          <t>Yes</t>
        </is>
      </c>
      <c r="H33" s="5" t="n">
        <v>6.04</v>
      </c>
      <c r="I33" s="4" t="inlineStr">
        <is>
          <t>Needed</t>
        </is>
      </c>
      <c r="J33" s="6" t="inlineStr">
        <is>
          <t>Drains for every token you make, and COPIES the tokens opponents make. The single best payoff for Tivit's Treasures and Clues.</t>
        </is>
      </c>
    </row>
    <row r="34" ht="15" customHeight="1">
      <c r="A34" s="3" t="n">
        <v>1</v>
      </c>
      <c r="B34" s="4" t="inlineStr">
        <is>
          <t>Token &amp; Artifact Payoffs</t>
        </is>
      </c>
      <c r="C34" s="4" t="inlineStr">
        <is>
          <t>Nadier's Nightblade</t>
        </is>
      </c>
      <c r="D34" s="4" t="inlineStr">
        <is>
          <t>Creature</t>
        </is>
      </c>
      <c r="E34" s="3" t="n">
        <v>3</v>
      </c>
      <c r="F34" s="4" t="inlineStr">
        <is>
          <t>B</t>
        </is>
      </c>
      <c r="G34" s="3" t="inlineStr">
        <is>
          <t>No</t>
        </is>
      </c>
      <c r="H34" s="5" t="n">
        <v>0.36</v>
      </c>
      <c r="I34" s="4" t="inlineStr">
        <is>
          <t>Needed</t>
        </is>
      </c>
      <c r="J34" s="6" t="inlineStr">
        <is>
          <t>Drain whenever a token LEAVES. Cracking Clues and Treasures becomes a damage engine.</t>
        </is>
      </c>
    </row>
    <row r="35" ht="15" customHeight="1">
      <c r="A35" s="3" t="n">
        <v>1</v>
      </c>
      <c r="B35" s="4" t="inlineStr">
        <is>
          <t>Token &amp; Artifact Payoffs</t>
        </is>
      </c>
      <c r="C35" s="4" t="inlineStr">
        <is>
          <t>Mechanized Production</t>
        </is>
      </c>
      <c r="D35" s="4" t="inlineStr">
        <is>
          <t>Enchantment</t>
        </is>
      </c>
      <c r="E35" s="3" t="n">
        <v>4</v>
      </c>
      <c r="F35" s="4" t="inlineStr">
        <is>
          <t>U</t>
        </is>
      </c>
      <c r="G35" s="3" t="inlineStr">
        <is>
          <t>No</t>
        </is>
      </c>
      <c r="H35" s="5" t="n">
        <v>3.3</v>
      </c>
      <c r="I35" s="4" t="inlineStr">
        <is>
          <t>Needed</t>
        </is>
      </c>
      <c r="J35" s="6" t="inlineStr">
        <is>
          <t>Copies an artifact each upkeep and wins at eight with the same name. Enchant a Treasure or a Clue.</t>
        </is>
      </c>
    </row>
    <row r="36" ht="15" customHeight="1">
      <c r="A36" s="3" t="n">
        <v>1</v>
      </c>
      <c r="B36" s="4" t="inlineStr">
        <is>
          <t>Token &amp; Artifact Payoffs</t>
        </is>
      </c>
      <c r="C36" s="4" t="inlineStr">
        <is>
          <t>Mirkwood Bats</t>
        </is>
      </c>
      <c r="D36" s="4" t="inlineStr">
        <is>
          <t>Creature</t>
        </is>
      </c>
      <c r="E36" s="3" t="n">
        <v>4</v>
      </c>
      <c r="F36" s="4" t="inlineStr">
        <is>
          <t>B</t>
        </is>
      </c>
      <c r="G36" s="3" t="inlineStr">
        <is>
          <t>No</t>
        </is>
      </c>
      <c r="H36" s="5" t="n">
        <v>1.43</v>
      </c>
      <c r="I36" s="4" t="inlineStr">
        <is>
          <t>Needed</t>
        </is>
      </c>
      <c r="J36" s="6" t="inlineStr">
        <is>
          <t>Each opponent loses 1 whenever you create OR sacrifice a token. Both halves of the Clue/Treasure cycle deal damage.</t>
        </is>
      </c>
    </row>
    <row r="37" ht="15" customHeight="1">
      <c r="A37" s="3" t="n">
        <v>1</v>
      </c>
      <c r="B37" s="4" t="inlineStr">
        <is>
          <t>Token &amp; Artifact Payoffs</t>
        </is>
      </c>
      <c r="C37" s="4" t="inlineStr">
        <is>
          <t>Revel in Riches</t>
        </is>
      </c>
      <c r="D37" s="4" t="inlineStr">
        <is>
          <t>Enchantment</t>
        </is>
      </c>
      <c r="E37" s="3" t="n">
        <v>5</v>
      </c>
      <c r="F37" s="4" t="inlineStr">
        <is>
          <t>B</t>
        </is>
      </c>
      <c r="G37" s="3" t="inlineStr">
        <is>
          <t>Yes</t>
        </is>
      </c>
      <c r="H37" s="5" t="n">
        <v>19.94</v>
      </c>
      <c r="I37" s="4" t="inlineStr">
        <is>
          <t>Needed</t>
        </is>
      </c>
      <c r="J37" s="6" t="inlineStr">
        <is>
          <t>Treasures off opponents' dying creatures, and an alternate win at ten. Tivit plus Academy Manufactor gets there fast.</t>
        </is>
      </c>
    </row>
    <row r="38" ht="15" customHeight="1">
      <c r="A38" s="3" t="n">
        <v>1</v>
      </c>
      <c r="B38" s="4" t="inlineStr">
        <is>
          <t>Token &amp; Artifact Payoffs</t>
        </is>
      </c>
      <c r="C38" s="4" t="inlineStr">
        <is>
          <t>Cyberdrive Awakener</t>
        </is>
      </c>
      <c r="D38" s="4" t="inlineStr">
        <is>
          <t>Creature</t>
        </is>
      </c>
      <c r="E38" s="3" t="n">
        <v>6</v>
      </c>
      <c r="F38" s="4" t="inlineStr">
        <is>
          <t>U</t>
        </is>
      </c>
      <c r="G38" s="3" t="inlineStr">
        <is>
          <t>No</t>
        </is>
      </c>
      <c r="H38" s="5" t="n">
        <v>1.73</v>
      </c>
      <c r="I38" s="4" t="inlineStr">
        <is>
          <t>Needed</t>
        </is>
      </c>
      <c r="J38" s="6" t="inlineStr">
        <is>
          <t>Turns every noncreature artifact into a 4/4 flier for a turn. A pile of Treasures and Clues becomes lethal out of nowhere.</t>
        </is>
      </c>
    </row>
    <row r="39" ht="15" customHeight="1">
      <c r="A39" s="3" t="n">
        <v>1</v>
      </c>
      <c r="B39" s="4" t="inlineStr">
        <is>
          <t>Token &amp; Artifact Payoffs</t>
        </is>
      </c>
      <c r="C39" s="4" t="inlineStr">
        <is>
          <t>Marionette Master</t>
        </is>
      </c>
      <c r="D39" s="4" t="inlineStr">
        <is>
          <t>Creature</t>
        </is>
      </c>
      <c r="E39" s="3" t="n">
        <v>6</v>
      </c>
      <c r="F39" s="4" t="inlineStr">
        <is>
          <t>B</t>
        </is>
      </c>
      <c r="G39" s="3" t="inlineStr">
        <is>
          <t>No</t>
        </is>
      </c>
      <c r="H39" s="5" t="n">
        <v>3.99</v>
      </c>
      <c r="I39" s="4" t="inlineStr">
        <is>
          <t>Needed</t>
        </is>
      </c>
      <c r="J39" s="6" t="inlineStr">
        <is>
          <t>Fabricate 3, then each artifact leaving the battlefield drains for its power. Sacrificing a hand of Treasures is lethal.</t>
        </is>
      </c>
    </row>
    <row r="40" ht="15" customHeight="1">
      <c r="A40" s="3" t="n">
        <v>1</v>
      </c>
      <c r="B40" s="4" t="inlineStr">
        <is>
          <t>Card Advantage</t>
        </is>
      </c>
      <c r="C40" s="4" t="inlineStr">
        <is>
          <t>Demonic Tutor</t>
        </is>
      </c>
      <c r="D40" s="4" t="inlineStr">
        <is>
          <t>Sorcery</t>
        </is>
      </c>
      <c r="E40" s="3" t="n">
        <v>2</v>
      </c>
      <c r="F40" s="4" t="inlineStr">
        <is>
          <t>B</t>
        </is>
      </c>
      <c r="G40" s="3" t="inlineStr">
        <is>
          <t>No</t>
        </is>
      </c>
      <c r="H40" s="5" t="n">
        <v>66.73</v>
      </c>
      <c r="I40" s="4" t="inlineStr">
        <is>
          <t>Needed</t>
        </is>
      </c>
      <c r="J40" s="6" t="inlineStr">
        <is>
          <t>Unconditional tutor. Usually Illusion of Choice, Expropriate, or the missing combo half.</t>
        </is>
      </c>
    </row>
    <row r="41" ht="15" customHeight="1">
      <c r="A41" s="3" t="n">
        <v>1</v>
      </c>
      <c r="B41" s="4" t="inlineStr">
        <is>
          <t>Card Advantage</t>
        </is>
      </c>
      <c r="C41" s="4" t="inlineStr">
        <is>
          <t>Idyllic Tutor</t>
        </is>
      </c>
      <c r="D41" s="4" t="inlineStr">
        <is>
          <t>Sorcery</t>
        </is>
      </c>
      <c r="E41" s="3" t="n">
        <v>3</v>
      </c>
      <c r="F41" s="4" t="inlineStr">
        <is>
          <t>W</t>
        </is>
      </c>
      <c r="G41" s="3" t="inlineStr">
        <is>
          <t>No</t>
        </is>
      </c>
      <c r="H41" s="5" t="n">
        <v>12.57</v>
      </c>
      <c r="I41" s="4" t="inlineStr">
        <is>
          <t>Needed</t>
        </is>
      </c>
      <c r="J41" s="6" t="inlineStr">
        <is>
          <t>Finds Rhystic Study, Revel in Riches, Mechanized Production or a Prison effect.</t>
        </is>
      </c>
    </row>
    <row r="42" ht="15" customHeight="1">
      <c r="A42" s="3" t="n">
        <v>1</v>
      </c>
      <c r="B42" s="4" t="inlineStr">
        <is>
          <t>Card Advantage</t>
        </is>
      </c>
      <c r="C42" s="4" t="inlineStr">
        <is>
          <t>Rhystic Study</t>
        </is>
      </c>
      <c r="D42" s="4" t="inlineStr">
        <is>
          <t>Enchantment</t>
        </is>
      </c>
      <c r="E42" s="3" t="n">
        <v>3</v>
      </c>
      <c r="F42" s="4" t="inlineStr">
        <is>
          <t>U</t>
        </is>
      </c>
      <c r="G42" s="3" t="inlineStr">
        <is>
          <t>Yes</t>
        </is>
      </c>
      <c r="H42" s="5" t="n">
        <v>70.33</v>
      </c>
      <c r="I42" s="4" t="inlineStr">
        <is>
          <t>Needed</t>
        </is>
      </c>
      <c r="J42" s="6" t="inlineStr">
        <is>
          <t>The strongest draw engine in the format and it taxes the same opponents the vote cards are already squeezing.</t>
        </is>
      </c>
    </row>
    <row r="43" ht="15" customHeight="1">
      <c r="A43" s="3" t="n">
        <v>1</v>
      </c>
      <c r="B43" s="4" t="inlineStr">
        <is>
          <t>Card Advantage</t>
        </is>
      </c>
      <c r="C43" s="4" t="inlineStr">
        <is>
          <t>Tamiyo's Journal</t>
        </is>
      </c>
      <c r="D43" s="4" t="inlineStr">
        <is>
          <t>Artifact</t>
        </is>
      </c>
      <c r="E43" s="3" t="n">
        <v>5</v>
      </c>
      <c r="F43" s="4" t="inlineStr">
        <is>
          <t>C</t>
        </is>
      </c>
      <c r="G43" s="3" t="inlineStr">
        <is>
          <t>No</t>
        </is>
      </c>
      <c r="H43" s="5" t="n">
        <v>2.7</v>
      </c>
      <c r="I43" s="4" t="inlineStr">
        <is>
          <t>Needed</t>
        </is>
      </c>
      <c r="J43" s="6" t="inlineStr">
        <is>
          <t>A Clue every upkeep -- doubled by Academy Manufactor -- and sacrifice three Clues to tutor any card.</t>
        </is>
      </c>
    </row>
    <row r="44" ht="15" customHeight="1">
      <c r="A44" s="3" t="n">
        <v>1</v>
      </c>
      <c r="B44" s="4" t="inlineStr">
        <is>
          <t>Ramp &amp; Fixing</t>
        </is>
      </c>
      <c r="C44" s="4" t="inlineStr">
        <is>
          <t>Sol Ring</t>
        </is>
      </c>
      <c r="D44" s="4" t="inlineStr">
        <is>
          <t>Artifact</t>
        </is>
      </c>
      <c r="E44" s="3" t="n">
        <v>1</v>
      </c>
      <c r="F44" s="4" t="inlineStr">
        <is>
          <t>C</t>
        </is>
      </c>
      <c r="G44" s="3" t="inlineStr">
        <is>
          <t>Yes</t>
        </is>
      </c>
      <c r="H44" s="5" t="n">
        <v>1.69</v>
      </c>
      <c r="I44" s="4" t="inlineStr">
        <is>
          <t>Needed</t>
        </is>
      </c>
      <c r="J44" s="6" t="inlineStr">
        <is>
          <t>Turn-one Sol Ring is the single largest swing available; also an artifact for Time Sieve and Disciple of the Vault.</t>
        </is>
      </c>
    </row>
    <row r="45" ht="15" customHeight="1">
      <c r="A45" s="3" t="n">
        <v>1</v>
      </c>
      <c r="B45" s="4" t="inlineStr">
        <is>
          <t>Ramp &amp; Fixing</t>
        </is>
      </c>
      <c r="C45" s="4" t="inlineStr">
        <is>
          <t>Arcane Signet</t>
        </is>
      </c>
      <c r="D45" s="4" t="inlineStr">
        <is>
          <t>Artifact</t>
        </is>
      </c>
      <c r="E45" s="3" t="n">
        <v>2</v>
      </c>
      <c r="F45" s="4" t="inlineStr">
        <is>
          <t>C</t>
        </is>
      </c>
      <c r="G45" s="3" t="inlineStr">
        <is>
          <t>No</t>
        </is>
      </c>
      <c r="H45" s="5" t="n">
        <v>0.59</v>
      </c>
      <c r="I45" s="4" t="inlineStr">
        <is>
          <t>Needed</t>
        </is>
      </c>
      <c r="J45" s="6" t="inlineStr">
        <is>
          <t>Any colour in the commander's identity.</t>
        </is>
      </c>
    </row>
    <row r="46" ht="15" customHeight="1">
      <c r="A46" s="3" t="n">
        <v>1</v>
      </c>
      <c r="B46" s="4" t="inlineStr">
        <is>
          <t>Ramp &amp; Fixing</t>
        </is>
      </c>
      <c r="C46" s="4" t="inlineStr">
        <is>
          <t>Azorius Signet</t>
        </is>
      </c>
      <c r="D46" s="4" t="inlineStr">
        <is>
          <t>Artifact</t>
        </is>
      </c>
      <c r="E46" s="3" t="n">
        <v>2</v>
      </c>
      <c r="F46" s="4" t="inlineStr">
        <is>
          <t>W/U</t>
        </is>
      </c>
      <c r="G46" s="3" t="inlineStr">
        <is>
          <t>No</t>
        </is>
      </c>
      <c r="H46" s="5" t="n">
        <v>0.33</v>
      </c>
      <c r="I46" s="4" t="inlineStr">
        <is>
          <t>Needed</t>
        </is>
      </c>
      <c r="J46" s="6" t="inlineStr">
        <is>
          <t>{W}{U} filtering on two.</t>
        </is>
      </c>
    </row>
    <row r="47" ht="15" customHeight="1">
      <c r="A47" s="3" t="n">
        <v>1</v>
      </c>
      <c r="B47" s="4" t="inlineStr">
        <is>
          <t>Ramp &amp; Fixing</t>
        </is>
      </c>
      <c r="C47" s="4" t="inlineStr">
        <is>
          <t>Dimir Signet</t>
        </is>
      </c>
      <c r="D47" s="4" t="inlineStr">
        <is>
          <t>Artifact</t>
        </is>
      </c>
      <c r="E47" s="3" t="n">
        <v>2</v>
      </c>
      <c r="F47" s="4" t="inlineStr">
        <is>
          <t>U/B</t>
        </is>
      </c>
      <c r="G47" s="3" t="inlineStr">
        <is>
          <t>No</t>
        </is>
      </c>
      <c r="H47" s="5" t="n">
        <v>1.18</v>
      </c>
      <c r="I47" s="4" t="inlineStr">
        <is>
          <t>Needed</t>
        </is>
      </c>
      <c r="J47" s="6" t="inlineStr">
        <is>
          <t>{U}{B} filtering on two.</t>
        </is>
      </c>
    </row>
    <row r="48" ht="15" customHeight="1">
      <c r="A48" s="3" t="n">
        <v>1</v>
      </c>
      <c r="B48" s="4" t="inlineStr">
        <is>
          <t>Ramp &amp; Fixing</t>
        </is>
      </c>
      <c r="C48" s="4" t="inlineStr">
        <is>
          <t>Orzhov Signet</t>
        </is>
      </c>
      <c r="D48" s="4" t="inlineStr">
        <is>
          <t>Artifact</t>
        </is>
      </c>
      <c r="E48" s="3" t="n">
        <v>2</v>
      </c>
      <c r="F48" s="4" t="inlineStr">
        <is>
          <t>W/B</t>
        </is>
      </c>
      <c r="G48" s="3" t="inlineStr">
        <is>
          <t>No</t>
        </is>
      </c>
      <c r="H48" s="5" t="n">
        <v>0.37</v>
      </c>
      <c r="I48" s="4" t="inlineStr">
        <is>
          <t>Needed</t>
        </is>
      </c>
      <c r="J48" s="6" t="inlineStr">
        <is>
          <t>{W}{B} filtering on two.</t>
        </is>
      </c>
    </row>
    <row r="49" ht="15" customHeight="1">
      <c r="A49" s="3" t="n">
        <v>1</v>
      </c>
      <c r="B49" s="4" t="inlineStr">
        <is>
          <t>Ramp &amp; Fixing</t>
        </is>
      </c>
      <c r="C49" s="4" t="inlineStr">
        <is>
          <t>Model of Unity</t>
        </is>
      </c>
      <c r="D49" s="4" t="inlineStr">
        <is>
          <t>Artifact</t>
        </is>
      </c>
      <c r="E49" s="3" t="n">
        <v>3</v>
      </c>
      <c r="F49" s="4" t="inlineStr">
        <is>
          <t>C</t>
        </is>
      </c>
      <c r="G49" s="3" t="inlineStr">
        <is>
          <t>No</t>
        </is>
      </c>
      <c r="H49" s="5" t="n">
        <v>0.21</v>
      </c>
      <c r="I49" s="4" t="inlineStr">
        <is>
          <t>Needed</t>
        </is>
      </c>
      <c r="J49" s="6" t="inlineStr">
        <is>
          <t>Any-colour rock that also scries 2 for you and every opponent who voted with you -- a bribe that costs you nothing.</t>
        </is>
      </c>
    </row>
    <row r="50" ht="15" customHeight="1">
      <c r="A50" s="3" t="n">
        <v>1</v>
      </c>
      <c r="B50" s="4" t="inlineStr">
        <is>
          <t>Ramp &amp; Fixing</t>
        </is>
      </c>
      <c r="C50" s="4" t="inlineStr">
        <is>
          <t>Monologue Tax</t>
        </is>
      </c>
      <c r="D50" s="4" t="inlineStr">
        <is>
          <t>Enchantment</t>
        </is>
      </c>
      <c r="E50" s="3" t="n">
        <v>3</v>
      </c>
      <c r="F50" s="4" t="inlineStr">
        <is>
          <t>W</t>
        </is>
      </c>
      <c r="G50" s="3" t="inlineStr">
        <is>
          <t>No</t>
        </is>
      </c>
      <c r="H50" s="5" t="n">
        <v>1.46</v>
      </c>
      <c r="I50" s="4" t="inlineStr">
        <is>
          <t>Needed</t>
        </is>
      </c>
      <c r="J50" s="6" t="inlineStr">
        <is>
          <t>A Treasure whenever an opponent casts their second spell each turn. Ramp that scales with a busy pod.</t>
        </is>
      </c>
    </row>
    <row r="51" ht="15" customHeight="1">
      <c r="A51" s="3" t="n">
        <v>1</v>
      </c>
      <c r="B51" s="4" t="inlineStr">
        <is>
          <t>Removal &amp; Interaction</t>
        </is>
      </c>
      <c r="C51" s="4" t="inlineStr">
        <is>
          <t>An Offer You Can't Refuse</t>
        </is>
      </c>
      <c r="D51" s="4" t="inlineStr">
        <is>
          <t>Instant</t>
        </is>
      </c>
      <c r="E51" s="3" t="n">
        <v>1</v>
      </c>
      <c r="F51" s="4" t="inlineStr">
        <is>
          <t>U</t>
        </is>
      </c>
      <c r="G51" s="3" t="inlineStr">
        <is>
          <t>No</t>
        </is>
      </c>
      <c r="H51" s="5" t="n">
        <v>3.4</v>
      </c>
      <c r="I51" s="4" t="inlineStr">
        <is>
          <t>Needed</t>
        </is>
      </c>
      <c r="J51" s="6" t="inlineStr">
        <is>
          <t>One mana counter; the two Treasures you hand over are a real cost, but Kambal copies them for you.</t>
        </is>
      </c>
    </row>
    <row r="52" ht="15" customHeight="1">
      <c r="A52" s="3" t="n">
        <v>1</v>
      </c>
      <c r="B52" s="4" t="inlineStr">
        <is>
          <t>Removal &amp; Interaction</t>
        </is>
      </c>
      <c r="C52" s="4" t="inlineStr">
        <is>
          <t>Path to Exile</t>
        </is>
      </c>
      <c r="D52" s="4" t="inlineStr">
        <is>
          <t>Instant</t>
        </is>
      </c>
      <c r="E52" s="3" t="n">
        <v>1</v>
      </c>
      <c r="F52" s="4" t="inlineStr">
        <is>
          <t>W</t>
        </is>
      </c>
      <c r="G52" s="3" t="inlineStr">
        <is>
          <t>No</t>
        </is>
      </c>
      <c r="H52" s="5" t="n">
        <v>1.76</v>
      </c>
      <c r="I52" s="4" t="inlineStr">
        <is>
          <t>Needed</t>
        </is>
      </c>
      <c r="J52" s="6" t="inlineStr">
        <is>
          <t>One mana, exile. Ramps them one land.</t>
        </is>
      </c>
    </row>
    <row r="53" ht="15" customHeight="1">
      <c r="A53" s="3" t="n">
        <v>1</v>
      </c>
      <c r="B53" s="4" t="inlineStr">
        <is>
          <t>Removal &amp; Interaction</t>
        </is>
      </c>
      <c r="C53" s="4" t="inlineStr">
        <is>
          <t>Swords to Plowshares</t>
        </is>
      </c>
      <c r="D53" s="4" t="inlineStr">
        <is>
          <t>Instant</t>
        </is>
      </c>
      <c r="E53" s="3" t="n">
        <v>1</v>
      </c>
      <c r="F53" s="4" t="inlineStr">
        <is>
          <t>W</t>
        </is>
      </c>
      <c r="G53" s="3" t="inlineStr">
        <is>
          <t>No</t>
        </is>
      </c>
      <c r="H53" s="5" t="n">
        <v>1.85</v>
      </c>
      <c r="I53" s="4" t="inlineStr">
        <is>
          <t>Needed</t>
        </is>
      </c>
      <c r="J53" s="6" t="inlineStr">
        <is>
          <t>One mana, exile anything. The life is irrelevant next to the tempo.</t>
        </is>
      </c>
    </row>
    <row r="54" ht="15" customHeight="1">
      <c r="A54" s="3" t="n">
        <v>1</v>
      </c>
      <c r="B54" s="4" t="inlineStr">
        <is>
          <t>Removal &amp; Interaction</t>
        </is>
      </c>
      <c r="C54" s="4" t="inlineStr">
        <is>
          <t>Counterspell</t>
        </is>
      </c>
      <c r="D54" s="4" t="inlineStr">
        <is>
          <t>Instant</t>
        </is>
      </c>
      <c r="E54" s="3" t="n">
        <v>2</v>
      </c>
      <c r="F54" s="4" t="inlineStr">
        <is>
          <t>U</t>
        </is>
      </c>
      <c r="G54" s="3" t="inlineStr">
        <is>
          <t>No</t>
        </is>
      </c>
      <c r="H54" s="5" t="n">
        <v>3.16</v>
      </c>
      <c r="I54" s="4" t="inlineStr">
        <is>
          <t>Needed</t>
        </is>
      </c>
      <c r="J54" s="6" t="inlineStr">
        <is>
          <t>The baseline. {U}{U}, counter anything.</t>
        </is>
      </c>
    </row>
    <row r="55" ht="15" customHeight="1">
      <c r="A55" s="3" t="n">
        <v>1</v>
      </c>
      <c r="B55" s="4" t="inlineStr">
        <is>
          <t>Removal &amp; Interaction</t>
        </is>
      </c>
      <c r="C55" s="4" t="inlineStr">
        <is>
          <t>Damn</t>
        </is>
      </c>
      <c r="D55" s="4" t="inlineStr">
        <is>
          <t>Sorcery</t>
        </is>
      </c>
      <c r="E55" s="3" t="n">
        <v>2</v>
      </c>
      <c r="F55" s="4" t="inlineStr">
        <is>
          <t>W/B</t>
        </is>
      </c>
      <c r="G55" s="3" t="inlineStr">
        <is>
          <t>No</t>
        </is>
      </c>
      <c r="H55" s="5" t="n">
        <v>2.25</v>
      </c>
      <c r="I55" s="4" t="inlineStr">
        <is>
          <t>Needed</t>
        </is>
      </c>
      <c r="J55" s="6" t="inlineStr">
        <is>
          <t>Two-mana spot removal, or overload {2}{W}{W} for a full wrath.</t>
        </is>
      </c>
    </row>
    <row r="56" ht="15" customHeight="1">
      <c r="A56" s="3" t="n">
        <v>1</v>
      </c>
      <c r="B56" s="4" t="inlineStr">
        <is>
          <t>Removal &amp; Interaction</t>
        </is>
      </c>
      <c r="C56" s="4" t="inlineStr">
        <is>
          <t>Dovin's Veto</t>
        </is>
      </c>
      <c r="D56" s="4" t="inlineStr">
        <is>
          <t>Instant</t>
        </is>
      </c>
      <c r="E56" s="3" t="n">
        <v>2</v>
      </c>
      <c r="F56" s="4" t="inlineStr">
        <is>
          <t>W/U</t>
        </is>
      </c>
      <c r="G56" s="3" t="inlineStr">
        <is>
          <t>No</t>
        </is>
      </c>
      <c r="H56" s="5" t="n">
        <v>3.82</v>
      </c>
      <c r="I56" s="4" t="inlineStr">
        <is>
          <t>Needed</t>
        </is>
      </c>
      <c r="J56" s="6" t="inlineStr">
        <is>
          <t>Counters a noncreature spell and cannot itself be countered.</t>
        </is>
      </c>
    </row>
    <row r="57" ht="15" customHeight="1">
      <c r="A57" s="3" t="n">
        <v>1</v>
      </c>
      <c r="B57" s="4" t="inlineStr">
        <is>
          <t>Removal &amp; Interaction</t>
        </is>
      </c>
      <c r="C57" s="4" t="inlineStr">
        <is>
          <t>Muddle the Mixture</t>
        </is>
      </c>
      <c r="D57" s="4" t="inlineStr">
        <is>
          <t>Instant</t>
        </is>
      </c>
      <c r="E57" s="3" t="n">
        <v>2</v>
      </c>
      <c r="F57" s="4" t="inlineStr">
        <is>
          <t>U</t>
        </is>
      </c>
      <c r="G57" s="3" t="inlineStr">
        <is>
          <t>No</t>
        </is>
      </c>
      <c r="H57" s="5" t="n">
        <v>2.58</v>
      </c>
      <c r="I57" s="4" t="inlineStr">
        <is>
          <t>Needed</t>
        </is>
      </c>
      <c r="J57" s="6" t="inlineStr">
        <is>
          <t>Counter an instant or sorcery, or TRANSMUTE for any two-drop -- Time Sieve, Dimir Signet, or a Signet you are missing.</t>
        </is>
      </c>
    </row>
    <row r="58" ht="15" customHeight="1">
      <c r="A58" s="3" t="n">
        <v>1</v>
      </c>
      <c r="B58" s="4" t="inlineStr">
        <is>
          <t>Removal &amp; Interaction</t>
        </is>
      </c>
      <c r="C58" s="4" t="inlineStr">
        <is>
          <t>Torment of Hailfire</t>
        </is>
      </c>
      <c r="D58" s="4" t="inlineStr">
        <is>
          <t>Sorcery</t>
        </is>
      </c>
      <c r="E58" s="3" t="n">
        <v>2</v>
      </c>
      <c r="F58" s="4" t="inlineStr">
        <is>
          <t>B</t>
        </is>
      </c>
      <c r="G58" s="3" t="inlineStr">
        <is>
          <t>Yes</t>
        </is>
      </c>
      <c r="H58" s="5" t="n">
        <v>36.84</v>
      </c>
      <c r="I58" s="4" t="inlineStr">
        <is>
          <t>Needed</t>
        </is>
      </c>
      <c r="J58" s="6" t="inlineStr">
        <is>
          <t>The finisher. With Treasures from Tivit and Academy Manufactor, X is large enough to end the game outright.</t>
        </is>
      </c>
    </row>
    <row r="59" ht="15" customHeight="1">
      <c r="A59" s="3" t="n">
        <v>1</v>
      </c>
      <c r="B59" s="4" t="inlineStr">
        <is>
          <t>Removal &amp; Interaction</t>
        </is>
      </c>
      <c r="C59" s="4" t="inlineStr">
        <is>
          <t>Council's Judgment</t>
        </is>
      </c>
      <c r="D59" s="4" t="inlineStr">
        <is>
          <t>Sorcery</t>
        </is>
      </c>
      <c r="E59" s="3" t="n">
        <v>3</v>
      </c>
      <c r="F59" s="4" t="inlineStr">
        <is>
          <t>W</t>
        </is>
      </c>
      <c r="G59" s="3" t="inlineStr">
        <is>
          <t>Yes</t>
        </is>
      </c>
      <c r="H59" s="5" t="n">
        <v>0.75</v>
      </c>
      <c r="I59" s="4" t="inlineStr">
        <is>
          <t>Needed</t>
        </is>
      </c>
      <c r="J59" s="6" t="inlineStr">
        <is>
          <t>Votes a permanent YOU DON'T CONTROL into exile -- no targeting, so it answers hexproof and ward. With extra votes you decide.</t>
        </is>
      </c>
    </row>
    <row r="60" ht="15" customHeight="1">
      <c r="A60" s="3" t="n">
        <v>1</v>
      </c>
      <c r="B60" s="4" t="inlineStr">
        <is>
          <t>Removal &amp; Interaction</t>
        </is>
      </c>
      <c r="C60" s="4" t="inlineStr">
        <is>
          <t>Trap the Trespassers</t>
        </is>
      </c>
      <c r="D60" s="4" t="inlineStr">
        <is>
          <t>Instant</t>
        </is>
      </c>
      <c r="E60" s="3" t="n">
        <v>3</v>
      </c>
      <c r="F60" s="4" t="inlineStr">
        <is>
          <t>U</t>
        </is>
      </c>
      <c r="G60" s="3" t="inlineStr">
        <is>
          <t>No</t>
        </is>
      </c>
      <c r="H60" s="5" t="n">
        <v>0.27</v>
      </c>
      <c r="I60" s="4" t="inlineStr">
        <is>
          <t>Needed</t>
        </is>
      </c>
      <c r="J60" s="6" t="inlineStr">
        <is>
          <t>Secret council: stun counters on the creatures they vote for. A fog and a removal spell in one, and it never hits your side.</t>
        </is>
      </c>
    </row>
    <row r="61" ht="15" customHeight="1">
      <c r="A61" s="3" t="n">
        <v>1</v>
      </c>
      <c r="B61" s="4" t="inlineStr">
        <is>
          <t>Removal &amp; Interaction</t>
        </is>
      </c>
      <c r="C61" s="4" t="inlineStr">
        <is>
          <t>Void Rend</t>
        </is>
      </c>
      <c r="D61" s="4" t="inlineStr">
        <is>
          <t>Instant</t>
        </is>
      </c>
      <c r="E61" s="3" t="n">
        <v>3</v>
      </c>
      <c r="F61" s="4" t="inlineStr">
        <is>
          <t>W/U/B</t>
        </is>
      </c>
      <c r="G61" s="3" t="inlineStr">
        <is>
          <t>No</t>
        </is>
      </c>
      <c r="H61" s="5" t="n">
        <v>0.95</v>
      </c>
      <c r="I61" s="4" t="inlineStr">
        <is>
          <t>Needed</t>
        </is>
      </c>
      <c r="J61" s="6" t="inlineStr">
        <is>
          <t>Destroys any nonland permanent and CANNOT BE COUNTERED. The clean answer.</t>
        </is>
      </c>
    </row>
    <row r="62" ht="15" customHeight="1">
      <c r="A62" s="3" t="n">
        <v>1</v>
      </c>
      <c r="B62" s="4" t="inlineStr">
        <is>
          <t>Removal &amp; Interaction</t>
        </is>
      </c>
      <c r="C62" s="4" t="inlineStr">
        <is>
          <t>Promise of Loyalty</t>
        </is>
      </c>
      <c r="D62" s="4" t="inlineStr">
        <is>
          <t>Sorcery</t>
        </is>
      </c>
      <c r="E62" s="3" t="n">
        <v>5</v>
      </c>
      <c r="F62" s="4" t="inlineStr">
        <is>
          <t>W</t>
        </is>
      </c>
      <c r="G62" s="3" t="inlineStr">
        <is>
          <t>No</t>
        </is>
      </c>
      <c r="H62" s="5" t="n">
        <v>0.32</v>
      </c>
      <c r="I62" s="4" t="inlineStr">
        <is>
          <t>Needed</t>
        </is>
      </c>
      <c r="J62" s="6" t="inlineStr">
        <is>
          <t>Each player keeps one creature. You keep Tivit; the vow counters stop what survives from attacking you.</t>
        </is>
      </c>
    </row>
    <row r="63" ht="15" customHeight="1">
      <c r="A63" s="3" t="n">
        <v>1</v>
      </c>
      <c r="B63" s="4" t="inlineStr">
        <is>
          <t>Removal &amp; Interaction</t>
        </is>
      </c>
      <c r="C63" s="4" t="inlineStr">
        <is>
          <t>Sadistic Shell Game</t>
        </is>
      </c>
      <c r="D63" s="4" t="inlineStr">
        <is>
          <t>Sorcery</t>
        </is>
      </c>
      <c r="E63" s="3" t="n">
        <v>5</v>
      </c>
      <c r="F63" s="4" t="inlineStr">
        <is>
          <t>B</t>
        </is>
      </c>
      <c r="G63" s="3" t="inlineStr">
        <is>
          <t>No</t>
        </is>
      </c>
      <c r="H63" s="5" t="n">
        <v>0.46</v>
      </c>
      <c r="I63" s="4" t="inlineStr">
        <is>
          <t>Needed</t>
        </is>
      </c>
      <c r="J63" s="6" t="inlineStr">
        <is>
          <t>Each player picks a creature you don't control and it dies. A wrath that cannot touch your board.</t>
        </is>
      </c>
    </row>
    <row r="64" ht="15" customHeight="1">
      <c r="A64" s="3" t="n">
        <v>1</v>
      </c>
      <c r="B64" s="4" t="inlineStr">
        <is>
          <t>Removal &amp; Interaction</t>
        </is>
      </c>
      <c r="C64" s="4" t="inlineStr">
        <is>
          <t>Farewell</t>
        </is>
      </c>
      <c r="D64" s="4" t="inlineStr">
        <is>
          <t>Sorcery</t>
        </is>
      </c>
      <c r="E64" s="3" t="n">
        <v>6</v>
      </c>
      <c r="F64" s="4" t="inlineStr">
        <is>
          <t>W</t>
        </is>
      </c>
      <c r="G64" s="3" t="inlineStr">
        <is>
          <t>No</t>
        </is>
      </c>
      <c r="H64" s="5" t="n">
        <v>6.02</v>
      </c>
      <c r="I64" s="4" t="inlineStr">
        <is>
          <t>Needed</t>
        </is>
      </c>
      <c r="J64" s="6" t="inlineStr">
        <is>
          <t>Modal exile of artifacts, creatures, enchantments and graveyards. Choose the modes that spare your own board.</t>
        </is>
      </c>
    </row>
    <row r="65" ht="15" customHeight="1">
      <c r="A65" s="3" t="n">
        <v>1</v>
      </c>
      <c r="B65" s="4" t="inlineStr">
        <is>
          <t>Removal &amp; Interaction</t>
        </is>
      </c>
      <c r="C65" s="4" t="inlineStr">
        <is>
          <t>Magister of Worth</t>
        </is>
      </c>
      <c r="D65" s="4" t="inlineStr">
        <is>
          <t>Creature</t>
        </is>
      </c>
      <c r="E65" s="3" t="n">
        <v>6</v>
      </c>
      <c r="F65" s="4" t="inlineStr">
        <is>
          <t>W/B</t>
        </is>
      </c>
      <c r="G65" s="3" t="inlineStr">
        <is>
          <t>No</t>
        </is>
      </c>
      <c r="H65" s="5" t="n">
        <v>0.31</v>
      </c>
      <c r="I65" s="4" t="inlineStr">
        <is>
          <t>Needed</t>
        </is>
      </c>
      <c r="J65" s="6" t="inlineStr">
        <is>
          <t>Vote: mass reanimation for everyone, or a one-sided wrath that spares itself. You hold the votes, so it is a wrath.</t>
        </is>
      </c>
    </row>
    <row r="66" ht="15" customHeight="1">
      <c r="A66" s="3" t="n">
        <v>1</v>
      </c>
      <c r="B66" s="4" t="inlineStr">
        <is>
          <t>Protection &amp; Taxation</t>
        </is>
      </c>
      <c r="C66" s="4" t="inlineStr">
        <is>
          <t>Lightning Greaves</t>
        </is>
      </c>
      <c r="D66" s="4" t="inlineStr">
        <is>
          <t>Artifact</t>
        </is>
      </c>
      <c r="E66" s="3" t="n">
        <v>2</v>
      </c>
      <c r="F66" s="4" t="inlineStr">
        <is>
          <t>C</t>
        </is>
      </c>
      <c r="G66" s="3" t="inlineStr">
        <is>
          <t>No</t>
        </is>
      </c>
      <c r="H66" s="5" t="n">
        <v>5.09</v>
      </c>
      <c r="I66" s="4" t="inlineStr">
        <is>
          <t>Needed</t>
        </is>
      </c>
      <c r="J66" s="6" t="inlineStr">
        <is>
          <t>Haste matters here: Tivit's second dilemma is on COMBAT DAMAGE, so haste is a whole extra vote the turn it lands.</t>
        </is>
      </c>
    </row>
    <row r="67" ht="15" customHeight="1">
      <c r="A67" s="3" t="n">
        <v>1</v>
      </c>
      <c r="B67" s="4" t="inlineStr">
        <is>
          <t>Protection &amp; Taxation</t>
        </is>
      </c>
      <c r="C67" s="4" t="inlineStr">
        <is>
          <t>Ghostly Prison</t>
        </is>
      </c>
      <c r="D67" s="4" t="inlineStr">
        <is>
          <t>Enchantment</t>
        </is>
      </c>
      <c r="E67" s="3" t="n">
        <v>3</v>
      </c>
      <c r="F67" s="4" t="inlineStr">
        <is>
          <t>W</t>
        </is>
      </c>
      <c r="G67" s="3" t="inlineStr">
        <is>
          <t>No</t>
        </is>
      </c>
      <c r="H67" s="5" t="n">
        <v>6.11</v>
      </c>
      <c r="I67" s="4" t="inlineStr">
        <is>
          <t>Needed</t>
        </is>
      </c>
      <c r="J67" s="6" t="inlineStr">
        <is>
          <t>Taxes attackers {2} each. Tivit is a six-drop that wants to attack, so buying turns matters.</t>
        </is>
      </c>
    </row>
    <row r="68" ht="15" customHeight="1">
      <c r="A68" s="3" t="n">
        <v>1</v>
      </c>
      <c r="B68" s="4" t="inlineStr">
        <is>
          <t>Protection &amp; Taxation</t>
        </is>
      </c>
      <c r="C68" s="4" t="inlineStr">
        <is>
          <t>Propaganda</t>
        </is>
      </c>
      <c r="D68" s="4" t="inlineStr">
        <is>
          <t>Enchantment</t>
        </is>
      </c>
      <c r="E68" s="3" t="n">
        <v>3</v>
      </c>
      <c r="F68" s="4" t="inlineStr">
        <is>
          <t>U</t>
        </is>
      </c>
      <c r="G68" s="3" t="inlineStr">
        <is>
          <t>No</t>
        </is>
      </c>
      <c r="H68" s="5" t="n">
        <v>2.65</v>
      </c>
      <c r="I68" s="4" t="inlineStr">
        <is>
          <t>Needed</t>
        </is>
      </c>
      <c r="J68" s="6" t="inlineStr">
        <is>
          <t>The blue Ghostly Prison; both, so it is redundant on purpose.</t>
        </is>
      </c>
    </row>
    <row r="69" ht="15" customHeight="1">
      <c r="A69" s="3" t="n">
        <v>1</v>
      </c>
      <c r="B69" s="4" t="inlineStr">
        <is>
          <t>Lands</t>
        </is>
      </c>
      <c r="C69" s="4" t="inlineStr">
        <is>
          <t>Ancient Den</t>
        </is>
      </c>
      <c r="D69" s="4" t="inlineStr">
        <is>
          <t>Land</t>
        </is>
      </c>
      <c r="E69" s="3" t="n">
        <v>0</v>
      </c>
      <c r="F69" s="4" t="inlineStr">
        <is>
          <t>W</t>
        </is>
      </c>
      <c r="G69" s="3" t="inlineStr">
        <is>
          <t>No</t>
        </is>
      </c>
      <c r="H69" s="5" t="n">
        <v>1.14</v>
      </c>
      <c r="I69" s="4" t="inlineStr">
        <is>
          <t>Needed</t>
        </is>
      </c>
      <c r="J69" s="6" t="inlineStr">
        <is>
          <t>ARTIFACT land -- a free Time Sieve / Disciple of the Vault body.</t>
        </is>
      </c>
    </row>
    <row r="70" ht="15" customHeight="1">
      <c r="A70" s="3" t="n">
        <v>1</v>
      </c>
      <c r="B70" s="4" t="inlineStr">
        <is>
          <t>Lands</t>
        </is>
      </c>
      <c r="C70" s="4" t="inlineStr">
        <is>
          <t>Arcane Sanctum</t>
        </is>
      </c>
      <c r="D70" s="4" t="inlineStr">
        <is>
          <t>Land</t>
        </is>
      </c>
      <c r="E70" s="3" t="n">
        <v>0</v>
      </c>
      <c r="F70" s="4" t="inlineStr">
        <is>
          <t>W/U/B</t>
        </is>
      </c>
      <c r="G70" s="3" t="inlineStr">
        <is>
          <t>No</t>
        </is>
      </c>
      <c r="H70" s="5" t="n">
        <v>0.45</v>
      </c>
      <c r="I70" s="4" t="inlineStr">
        <is>
          <t>Needed</t>
        </is>
      </c>
      <c r="J70" s="6" t="inlineStr">
        <is>
          <t>Tapped triome-lite; all three colours.</t>
        </is>
      </c>
    </row>
    <row r="71" ht="15" customHeight="1">
      <c r="A71" s="3" t="n">
        <v>1</v>
      </c>
      <c r="B71" s="4" t="inlineStr">
        <is>
          <t>Lands</t>
        </is>
      </c>
      <c r="C71" s="4" t="inlineStr">
        <is>
          <t>Archway of Innovation</t>
        </is>
      </c>
      <c r="D71" s="4" t="inlineStr">
        <is>
          <t>Land</t>
        </is>
      </c>
      <c r="E71" s="3" t="n">
        <v>0</v>
      </c>
      <c r="F71" s="4" t="inlineStr">
        <is>
          <t>U</t>
        </is>
      </c>
      <c r="G71" s="3" t="inlineStr">
        <is>
          <t>No</t>
        </is>
      </c>
      <c r="H71" s="5" t="n">
        <v>2</v>
      </c>
      <c r="I71" s="4" t="inlineStr">
        <is>
          <t>Needed</t>
        </is>
      </c>
      <c r="J71" s="6" t="inlineStr">
        <is>
          <t>Grants improvise, which a pile of Treasures pays.</t>
        </is>
      </c>
    </row>
    <row r="72" ht="15" customHeight="1">
      <c r="A72" s="3" t="n">
        <v>1</v>
      </c>
      <c r="B72" s="4" t="inlineStr">
        <is>
          <t>Lands</t>
        </is>
      </c>
      <c r="C72" s="4" t="inlineStr">
        <is>
          <t>Bojuka Bog</t>
        </is>
      </c>
      <c r="D72" s="4" t="inlineStr">
        <is>
          <t>Land</t>
        </is>
      </c>
      <c r="E72" s="3" t="n">
        <v>0</v>
      </c>
      <c r="F72" s="4" t="inlineStr">
        <is>
          <t>B</t>
        </is>
      </c>
      <c r="G72" s="3" t="inlineStr">
        <is>
          <t>No</t>
        </is>
      </c>
      <c r="H72" s="5" t="n">
        <v>1.26</v>
      </c>
      <c r="I72" s="4" t="inlineStr">
        <is>
          <t>Needed</t>
        </is>
      </c>
      <c r="J72" s="6" t="inlineStr">
        <is>
          <t>Tapped, but the ETB graveyard exile is real interaction.</t>
        </is>
      </c>
    </row>
    <row r="73" ht="15" customHeight="1">
      <c r="A73" s="3" t="n">
        <v>1</v>
      </c>
      <c r="B73" s="4" t="inlineStr">
        <is>
          <t>Lands</t>
        </is>
      </c>
      <c r="C73" s="4" t="inlineStr">
        <is>
          <t>Command Tower</t>
        </is>
      </c>
      <c r="D73" s="4" t="inlineStr">
        <is>
          <t>Land</t>
        </is>
      </c>
      <c r="E73" s="3" t="n">
        <v>0</v>
      </c>
      <c r="F73" s="4" t="inlineStr">
        <is>
          <t>C</t>
        </is>
      </c>
      <c r="G73" s="3" t="inlineStr">
        <is>
          <t>Yes</t>
        </is>
      </c>
      <c r="H73" s="5" t="n">
        <v>0.31</v>
      </c>
      <c r="I73" s="4" t="inlineStr">
        <is>
          <t>Needed</t>
        </is>
      </c>
      <c r="J73" s="6" t="inlineStr">
        <is>
          <t>Untapped any-colour. Strictly the best land in the deck.</t>
        </is>
      </c>
    </row>
    <row r="74" ht="15" customHeight="1">
      <c r="A74" s="3" t="n">
        <v>1</v>
      </c>
      <c r="B74" s="4" t="inlineStr">
        <is>
          <t>Lands</t>
        </is>
      </c>
      <c r="C74" s="4" t="inlineStr">
        <is>
          <t>Exotic Orchard</t>
        </is>
      </c>
      <c r="D74" s="4" t="inlineStr">
        <is>
          <t>Land</t>
        </is>
      </c>
      <c r="E74" s="3" t="n">
        <v>0</v>
      </c>
      <c r="F74" s="4" t="inlineStr">
        <is>
          <t>C</t>
        </is>
      </c>
      <c r="G74" s="3" t="inlineStr">
        <is>
          <t>No</t>
        </is>
      </c>
      <c r="H74" s="5" t="n">
        <v>0</v>
      </c>
      <c r="I74" s="4" t="inlineStr">
        <is>
          <t>Needed</t>
        </is>
      </c>
      <c r="J74" s="6" t="inlineStr">
        <is>
          <t>Reads the pod's lands; in a three-colour meta it is a dual.</t>
        </is>
      </c>
    </row>
    <row r="75" ht="15" customHeight="1">
      <c r="A75" s="3" t="n">
        <v>1</v>
      </c>
      <c r="B75" s="4" t="inlineStr">
        <is>
          <t>Lands</t>
        </is>
      </c>
      <c r="C75" s="4" t="inlineStr">
        <is>
          <t>Godless Shrine</t>
        </is>
      </c>
      <c r="D75" s="4" t="inlineStr">
        <is>
          <t>Land</t>
        </is>
      </c>
      <c r="E75" s="3" t="n">
        <v>0</v>
      </c>
      <c r="F75" s="4" t="inlineStr">
        <is>
          <t>W/B</t>
        </is>
      </c>
      <c r="G75" s="3" t="inlineStr">
        <is>
          <t>No</t>
        </is>
      </c>
      <c r="H75" s="5" t="n">
        <v>0</v>
      </c>
      <c r="I75" s="4" t="inlineStr">
        <is>
          <t>Needed</t>
        </is>
      </c>
      <c r="J75" s="6" t="inlineStr">
        <is>
          <t>Shockland W/B.</t>
        </is>
      </c>
    </row>
    <row r="76" ht="15" customHeight="1">
      <c r="A76" s="3" t="n">
        <v>1</v>
      </c>
      <c r="B76" s="4" t="inlineStr">
        <is>
          <t>Lands</t>
        </is>
      </c>
      <c r="C76" s="4" t="inlineStr">
        <is>
          <t>Hallowed Fountain</t>
        </is>
      </c>
      <c r="D76" s="4" t="inlineStr">
        <is>
          <t>Land</t>
        </is>
      </c>
      <c r="E76" s="3" t="n">
        <v>0</v>
      </c>
      <c r="F76" s="4" t="inlineStr">
        <is>
          <t>W/U</t>
        </is>
      </c>
      <c r="G76" s="3" t="inlineStr">
        <is>
          <t>No</t>
        </is>
      </c>
      <c r="H76" s="5" t="n">
        <v>0</v>
      </c>
      <c r="I76" s="4" t="inlineStr">
        <is>
          <t>Needed</t>
        </is>
      </c>
      <c r="J76" s="6" t="inlineStr">
        <is>
          <t>Shockland W/U.</t>
        </is>
      </c>
    </row>
    <row r="77" ht="15" customHeight="1">
      <c r="A77" s="3" t="n">
        <v>1</v>
      </c>
      <c r="B77" s="4" t="inlineStr">
        <is>
          <t>Lands</t>
        </is>
      </c>
      <c r="C77" s="4" t="inlineStr">
        <is>
          <t>Havengul Laboratory // Havengul Mystery</t>
        </is>
      </c>
      <c r="D77" s="4" t="inlineStr">
        <is>
          <t>Land</t>
        </is>
      </c>
      <c r="E77" s="3" t="n">
        <v>0</v>
      </c>
      <c r="F77" s="4" t="inlineStr">
        <is>
          <t>B</t>
        </is>
      </c>
      <c r="G77" s="3" t="inlineStr">
        <is>
          <t>No</t>
        </is>
      </c>
      <c r="H77" s="5" t="n">
        <v>0.82</v>
      </c>
      <c r="I77" s="4" t="inlineStr">
        <is>
          <t>Needed</t>
        </is>
      </c>
      <c r="J77" s="6" t="inlineStr">
        <is>
          <t>Investigates for {4}; transforms into a reanimator land after three Clues are cracked in a turn.</t>
        </is>
      </c>
    </row>
    <row r="78" ht="15" customHeight="1">
      <c r="A78" s="3" t="n">
        <v>1</v>
      </c>
      <c r="B78" s="4" t="inlineStr">
        <is>
          <t>Lands</t>
        </is>
      </c>
      <c r="C78" s="4" t="inlineStr">
        <is>
          <t>Prairie Stream</t>
        </is>
      </c>
      <c r="D78" s="4" t="inlineStr">
        <is>
          <t>Land</t>
        </is>
      </c>
      <c r="E78" s="3" t="n">
        <v>0</v>
      </c>
      <c r="F78" s="4" t="inlineStr">
        <is>
          <t>W/U</t>
        </is>
      </c>
      <c r="G78" s="3" t="inlineStr">
        <is>
          <t>No</t>
        </is>
      </c>
      <c r="H78" s="5" t="n">
        <v>0.26</v>
      </c>
      <c r="I78" s="4" t="inlineStr">
        <is>
          <t>Needed</t>
        </is>
      </c>
      <c r="J78" s="6" t="inlineStr">
        <is>
          <t>W/U; untapped with two basics.</t>
        </is>
      </c>
    </row>
    <row r="79" ht="15" customHeight="1">
      <c r="A79" s="3" t="n">
        <v>1</v>
      </c>
      <c r="B79" s="4" t="inlineStr">
        <is>
          <t>Lands</t>
        </is>
      </c>
      <c r="C79" s="4" t="inlineStr">
        <is>
          <t>Raffine's Tower</t>
        </is>
      </c>
      <c r="D79" s="4" t="inlineStr">
        <is>
          <t>Land</t>
        </is>
      </c>
      <c r="E79" s="3" t="n">
        <v>0</v>
      </c>
      <c r="F79" s="4" t="inlineStr">
        <is>
          <t>W/U/B</t>
        </is>
      </c>
      <c r="G79" s="3" t="inlineStr">
        <is>
          <t>No</t>
        </is>
      </c>
      <c r="H79" s="5" t="n">
        <v>12.92</v>
      </c>
      <c r="I79" s="4" t="inlineStr">
        <is>
          <t>Needed</t>
        </is>
      </c>
      <c r="J79" s="6" t="inlineStr">
        <is>
          <t>Tapped tri-land with cycling {3} when it is the wrong draw.</t>
        </is>
      </c>
    </row>
    <row r="80" ht="15" customHeight="1">
      <c r="A80" s="3" t="n">
        <v>1</v>
      </c>
      <c r="B80" s="4" t="inlineStr">
        <is>
          <t>Lands</t>
        </is>
      </c>
      <c r="C80" s="4" t="inlineStr">
        <is>
          <t>Reliquary Tower</t>
        </is>
      </c>
      <c r="D80" s="4" t="inlineStr">
        <is>
          <t>Land</t>
        </is>
      </c>
      <c r="E80" s="3" t="n">
        <v>0</v>
      </c>
      <c r="F80" s="4" t="inlineStr">
        <is>
          <t>C</t>
        </is>
      </c>
      <c r="G80" s="3" t="inlineStr">
        <is>
          <t>No</t>
        </is>
      </c>
      <c r="H80" s="5" t="n">
        <v>3.81</v>
      </c>
      <c r="I80" s="4" t="inlineStr">
        <is>
          <t>Needed</t>
        </is>
      </c>
      <c r="J80" s="6" t="inlineStr">
        <is>
          <t>No maximum hand size -- the vote and Clue draw adds up.</t>
        </is>
      </c>
    </row>
    <row r="81" ht="15" customHeight="1">
      <c r="A81" s="3" t="n">
        <v>1</v>
      </c>
      <c r="B81" s="4" t="inlineStr">
        <is>
          <t>Lands</t>
        </is>
      </c>
      <c r="C81" s="4" t="inlineStr">
        <is>
          <t>Rogue's Passage</t>
        </is>
      </c>
      <c r="D81" s="4" t="inlineStr">
        <is>
          <t>Land</t>
        </is>
      </c>
      <c r="E81" s="3" t="n">
        <v>0</v>
      </c>
      <c r="F81" s="4" t="inlineStr">
        <is>
          <t>C</t>
        </is>
      </c>
      <c r="G81" s="3" t="inlineStr">
        <is>
          <t>No</t>
        </is>
      </c>
      <c r="H81" s="5" t="n">
        <v>0.36</v>
      </c>
      <c r="I81" s="4" t="inlineStr">
        <is>
          <t>Needed</t>
        </is>
      </c>
      <c r="J81" s="6" t="inlineStr">
        <is>
          <t>Makes Tivit unblockable, which is the combat-damage dilemma.</t>
        </is>
      </c>
    </row>
    <row r="82" ht="15" customHeight="1">
      <c r="A82" s="3" t="n">
        <v>1</v>
      </c>
      <c r="B82" s="4" t="inlineStr">
        <is>
          <t>Lands</t>
        </is>
      </c>
      <c r="C82" s="4" t="inlineStr">
        <is>
          <t>Sea of Clouds</t>
        </is>
      </c>
      <c r="D82" s="4" t="inlineStr">
        <is>
          <t>Land</t>
        </is>
      </c>
      <c r="E82" s="3" t="n">
        <v>0</v>
      </c>
      <c r="F82" s="4" t="inlineStr">
        <is>
          <t>W/U</t>
        </is>
      </c>
      <c r="G82" s="3" t="inlineStr">
        <is>
          <t>No</t>
        </is>
      </c>
      <c r="H82" s="5" t="n">
        <v>20.64</v>
      </c>
      <c r="I82" s="4" t="inlineStr">
        <is>
          <t>Needed</t>
        </is>
      </c>
      <c r="J82" s="6" t="inlineStr">
        <is>
          <t>W/U; untapped in any multiplayer game.</t>
        </is>
      </c>
    </row>
    <row r="83" ht="15" customHeight="1">
      <c r="A83" s="3" t="n">
        <v>1</v>
      </c>
      <c r="B83" s="4" t="inlineStr">
        <is>
          <t>Lands</t>
        </is>
      </c>
      <c r="C83" s="4" t="inlineStr">
        <is>
          <t>Seat of the Synod</t>
        </is>
      </c>
      <c r="D83" s="4" t="inlineStr">
        <is>
          <t>Land</t>
        </is>
      </c>
      <c r="E83" s="3" t="n">
        <v>0</v>
      </c>
      <c r="F83" s="4" t="inlineStr">
        <is>
          <t>U</t>
        </is>
      </c>
      <c r="G83" s="3" t="inlineStr">
        <is>
          <t>No</t>
        </is>
      </c>
      <c r="H83" s="5" t="n">
        <v>0.9399999999999999</v>
      </c>
      <c r="I83" s="4" t="inlineStr">
        <is>
          <t>Needed</t>
        </is>
      </c>
      <c r="J83" s="6" t="inlineStr">
        <is>
          <t>ARTIFACT land. Same reason.</t>
        </is>
      </c>
    </row>
    <row r="84" ht="15" customHeight="1">
      <c r="A84" s="3" t="n">
        <v>1</v>
      </c>
      <c r="B84" s="4" t="inlineStr">
        <is>
          <t>Lands</t>
        </is>
      </c>
      <c r="C84" s="4" t="inlineStr">
        <is>
          <t>Sunken Hollow</t>
        </is>
      </c>
      <c r="D84" s="4" t="inlineStr">
        <is>
          <t>Land</t>
        </is>
      </c>
      <c r="E84" s="3" t="n">
        <v>0</v>
      </c>
      <c r="F84" s="4" t="inlineStr">
        <is>
          <t>U/B</t>
        </is>
      </c>
      <c r="G84" s="3" t="inlineStr">
        <is>
          <t>No</t>
        </is>
      </c>
      <c r="H84" s="5" t="n">
        <v>0.38</v>
      </c>
      <c r="I84" s="4" t="inlineStr">
        <is>
          <t>Needed</t>
        </is>
      </c>
      <c r="J84" s="6" t="inlineStr">
        <is>
          <t>U/B; untapped with two basics.</t>
        </is>
      </c>
    </row>
    <row r="85" ht="15" customHeight="1">
      <c r="A85" s="3" t="n">
        <v>1</v>
      </c>
      <c r="B85" s="4" t="inlineStr">
        <is>
          <t>Lands</t>
        </is>
      </c>
      <c r="C85" s="4" t="inlineStr">
        <is>
          <t>Vault of Champions</t>
        </is>
      </c>
      <c r="D85" s="4" t="inlineStr">
        <is>
          <t>Land</t>
        </is>
      </c>
      <c r="E85" s="3" t="n">
        <v>0</v>
      </c>
      <c r="F85" s="4" t="inlineStr">
        <is>
          <t>W/B</t>
        </is>
      </c>
      <c r="G85" s="3" t="inlineStr">
        <is>
          <t>No</t>
        </is>
      </c>
      <c r="H85" s="5" t="n">
        <v>16.22</v>
      </c>
      <c r="I85" s="4" t="inlineStr">
        <is>
          <t>Needed</t>
        </is>
      </c>
      <c r="J85" s="6" t="inlineStr">
        <is>
          <t>W/B; untapped in any multiplayer game.</t>
        </is>
      </c>
    </row>
    <row r="86" ht="15" customHeight="1">
      <c r="A86" s="3" t="n">
        <v>1</v>
      </c>
      <c r="B86" s="4" t="inlineStr">
        <is>
          <t>Lands</t>
        </is>
      </c>
      <c r="C86" s="4" t="inlineStr">
        <is>
          <t>Vault of Whispers</t>
        </is>
      </c>
      <c r="D86" s="4" t="inlineStr">
        <is>
          <t>Land</t>
        </is>
      </c>
      <c r="E86" s="3" t="n">
        <v>0</v>
      </c>
      <c r="F86" s="4" t="inlineStr">
        <is>
          <t>B</t>
        </is>
      </c>
      <c r="G86" s="3" t="inlineStr">
        <is>
          <t>No</t>
        </is>
      </c>
      <c r="H86" s="5" t="n">
        <v>5.29</v>
      </c>
      <c r="I86" s="4" t="inlineStr">
        <is>
          <t>Needed</t>
        </is>
      </c>
      <c r="J86" s="6" t="inlineStr">
        <is>
          <t>ARTIFACT land. Same reason.</t>
        </is>
      </c>
    </row>
    <row r="87" ht="15" customHeight="1">
      <c r="A87" s="3" t="n">
        <v>1</v>
      </c>
      <c r="B87" s="4" t="inlineStr">
        <is>
          <t>Lands</t>
        </is>
      </c>
      <c r="C87" s="4" t="inlineStr">
        <is>
          <t>Watery Grave</t>
        </is>
      </c>
      <c r="D87" s="4" t="inlineStr">
        <is>
          <t>Land</t>
        </is>
      </c>
      <c r="E87" s="3" t="n">
        <v>0</v>
      </c>
      <c r="F87" s="4" t="inlineStr">
        <is>
          <t>U/B</t>
        </is>
      </c>
      <c r="G87" s="3" t="inlineStr">
        <is>
          <t>No</t>
        </is>
      </c>
      <c r="H87" s="5" t="n">
        <v>0</v>
      </c>
      <c r="I87" s="4" t="inlineStr">
        <is>
          <t>Needed</t>
        </is>
      </c>
      <c r="J87" s="6" t="inlineStr">
        <is>
          <t>Shockland U/B.</t>
        </is>
      </c>
    </row>
    <row r="88" ht="15" customHeight="1">
      <c r="A88" s="3" t="n">
        <v>5</v>
      </c>
      <c r="B88" s="4" t="inlineStr">
        <is>
          <t>Lands</t>
        </is>
      </c>
      <c r="C88" s="4" t="inlineStr">
        <is>
          <t>Island</t>
        </is>
      </c>
      <c r="D88" s="4" t="inlineStr">
        <is>
          <t>Land</t>
        </is>
      </c>
      <c r="E88" s="3" t="n">
        <v>0</v>
      </c>
      <c r="F88" s="4" t="inlineStr">
        <is>
          <t>U</t>
        </is>
      </c>
      <c r="G88" s="3" t="inlineStr">
        <is>
          <t>No</t>
        </is>
      </c>
      <c r="H88" s="5" t="n">
        <v>0</v>
      </c>
      <c r="I88" s="4" t="inlineStr">
        <is>
          <t>Needed</t>
        </is>
      </c>
      <c r="J88" s="6" t="inlineStr">
        <is>
          <t>Basic.</t>
        </is>
      </c>
    </row>
    <row r="89" ht="15" customHeight="1">
      <c r="A89" s="3" t="n">
        <v>6</v>
      </c>
      <c r="B89" s="4" t="inlineStr">
        <is>
          <t>Lands</t>
        </is>
      </c>
      <c r="C89" s="4" t="inlineStr">
        <is>
          <t>Plains</t>
        </is>
      </c>
      <c r="D89" s="4" t="inlineStr">
        <is>
          <t>Land</t>
        </is>
      </c>
      <c r="E89" s="3" t="n">
        <v>0</v>
      </c>
      <c r="F89" s="4" t="inlineStr">
        <is>
          <t>W</t>
        </is>
      </c>
      <c r="G89" s="3" t="inlineStr">
        <is>
          <t>No</t>
        </is>
      </c>
      <c r="H89" s="5" t="n">
        <v>0</v>
      </c>
      <c r="I89" s="4" t="inlineStr">
        <is>
          <t>Needed</t>
        </is>
      </c>
      <c r="J89" s="6" t="inlineStr">
        <is>
          <t>Basic.</t>
        </is>
      </c>
    </row>
    <row r="90" ht="15" customHeight="1">
      <c r="A90" s="3" t="n">
        <v>5</v>
      </c>
      <c r="B90" s="4" t="inlineStr">
        <is>
          <t>Lands</t>
        </is>
      </c>
      <c r="C90" s="4" t="inlineStr">
        <is>
          <t>Swamp</t>
        </is>
      </c>
      <c r="D90" s="4" t="inlineStr">
        <is>
          <t>Land</t>
        </is>
      </c>
      <c r="E90" s="3" t="n">
        <v>0</v>
      </c>
      <c r="F90" s="4" t="inlineStr">
        <is>
          <t>B</t>
        </is>
      </c>
      <c r="G90" s="3" t="inlineStr">
        <is>
          <t>No</t>
        </is>
      </c>
      <c r="H90" s="5" t="n">
        <v>0</v>
      </c>
      <c r="I90" s="4" t="inlineStr">
        <is>
          <t>Needed</t>
        </is>
      </c>
      <c r="J90" s="6" t="inlineStr">
        <is>
          <t>Basic.</t>
        </is>
      </c>
    </row>
  </sheetData>
  <autoFilter ref="A3:J90"/>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69"/>
  <sheetViews>
    <sheetView workbookViewId="0">
      <selection activeCell="A1" sqref="A1"/>
    </sheetView>
  </sheetViews>
  <sheetFormatPr baseColWidth="8" defaultRowHeight="15"/>
  <cols>
    <col width="4" customWidth="1" min="1" max="1"/>
    <col width="45" customWidth="1" min="2" max="2"/>
    <col width="14" customWidth="1" min="3" max="3"/>
  </cols>
  <sheetData>
    <row r="2" ht="22.05" customHeight="1">
      <c r="B2" s="1" t="inlineStr">
        <is>
          <t>Tivit, Seller of Secrets</t>
        </is>
      </c>
    </row>
    <row r="3">
      <c r="B3" s="7" t="inlineStr">
        <is>
          <t>Esper Votes, Blink &amp; Artifact Tokens — Commander Deck Dashboard &amp; Analytics (v1)</t>
        </is>
      </c>
    </row>
    <row r="5" ht="17.35" customHeight="1">
      <c r="B5" s="8" t="inlineStr">
        <is>
          <t>Key Deck Metrics</t>
        </is>
      </c>
    </row>
    <row r="6">
      <c r="B6" s="9" t="inlineStr">
        <is>
          <t>Metric</t>
        </is>
      </c>
      <c r="C6" s="9" t="inlineStr">
        <is>
          <t>Value</t>
        </is>
      </c>
    </row>
    <row r="7" ht="15" customHeight="1">
      <c r="B7" s="10" t="inlineStr">
        <is>
          <t>Total Cards</t>
        </is>
      </c>
      <c r="C7" s="11">
        <f>SUM(Decklist!A4:A200)</f>
        <v/>
      </c>
    </row>
    <row r="8" ht="15" customHeight="1">
      <c r="B8" s="10" t="inlineStr">
        <is>
          <t>Total Deck Cost (USD)</t>
        </is>
      </c>
      <c r="C8" s="12">
        <f>SUMPRODUCT(Decklist!A4:A200,Decklist!H4:H200)</f>
        <v/>
      </c>
    </row>
    <row r="9" ht="15" customHeight="1">
      <c r="B9" s="10" t="inlineStr">
        <is>
          <t>USD → CAD Rate</t>
        </is>
      </c>
      <c r="C9" s="13" t="n">
        <v>1.4203</v>
      </c>
    </row>
    <row r="10" ht="15" customHeight="1">
      <c r="B10" s="10" t="inlineStr">
        <is>
          <t>Total Deck Cost (CAD)</t>
        </is>
      </c>
      <c r="C10" s="12">
        <f>C8*$C$9</f>
        <v/>
      </c>
    </row>
    <row r="11" ht="15" customHeight="1">
      <c r="B11" s="10" t="inlineStr">
        <is>
          <t>Max Mana Value</t>
        </is>
      </c>
      <c r="C11" s="11">
        <f>MAX(Decklist!E4:E200)</f>
        <v/>
      </c>
    </row>
    <row r="12" ht="15" customHeight="1">
      <c r="B12" s="10" t="inlineStr">
        <is>
          <t>Avg Mana Value (Spells)</t>
        </is>
      </c>
      <c r="C12" s="14">
        <f>AVERAGEIF(Decklist!B4:B200,"&lt;&gt;Lands",Decklist!E4:E200)</f>
        <v/>
      </c>
    </row>
    <row r="13" ht="15" customHeight="1">
      <c r="B13" s="10" t="inlineStr">
        <is>
          <t>Total Lands</t>
        </is>
      </c>
      <c r="C13" s="11">
        <f>SUMIF(Decklist!B4:B200,"Lands",Decklist!A4:A200)</f>
        <v/>
      </c>
    </row>
    <row r="14" ht="15" customHeight="1">
      <c r="B14" s="10" t="inlineStr">
        <is>
          <t>Basic Lands</t>
        </is>
      </c>
      <c r="C14" s="11">
        <f>SUMIFS(Decklist!A4:A200,Decklist!B4:B200,"Lands",Decklist!J4:J200,"Basic*")</f>
        <v/>
      </c>
    </row>
    <row r="15" ht="15" customHeight="1">
      <c r="B15" s="10" t="inlineStr">
        <is>
          <t>Artifact Lands</t>
        </is>
      </c>
      <c r="C15" s="11">
        <f>SUMIFS(Decklist!A4:A200,Decklist!B4:B200,"Lands",Decklist!J4:J200,"ARTIFACT land*")</f>
        <v/>
      </c>
    </row>
    <row r="16" ht="15" customHeight="1">
      <c r="B16" s="10" t="inlineStr">
        <is>
          <t>Voting Cards (incl. commander)</t>
        </is>
      </c>
      <c r="C16" s="11">
        <f>SUMIF(Decklist!B4:B200,"Voting &amp; Council's Dilemma",Decklist!A4:A200)+SUMIF(Decklist!B4:B200,"Commander",Decklist!A4:A200)</f>
        <v/>
      </c>
    </row>
    <row r="17" ht="15" customHeight="1">
      <c r="B17" s="10" t="inlineStr">
        <is>
          <t>Three-Colour (W/U/B) Cards</t>
        </is>
      </c>
      <c r="C17" s="11">
        <f>SUMIF(Decklist!F4:F200,"W/U/B",Decklist!A4:A200)</f>
        <v/>
      </c>
    </row>
    <row r="19">
      <c r="B19" s="15" t="inlineStr">
        <is>
          <t>Tivit votes twice on its own. Ballot Broker and Brago's Representative add one each, so three of the four are a majority in a four-player pod — and Illusion of Choice simply takes every vote.</t>
        </is>
      </c>
    </row>
    <row r="22" ht="17.35" customHeight="1">
      <c r="B22" s="8" t="inlineStr">
        <is>
          <t>Mana Curve</t>
        </is>
      </c>
    </row>
    <row r="23">
      <c r="B23" s="9" t="inlineStr">
        <is>
          <t>Mana Value</t>
        </is>
      </c>
      <c r="C23" s="9" t="inlineStr">
        <is>
          <t>Count</t>
        </is>
      </c>
    </row>
    <row r="24" ht="15" customHeight="1">
      <c r="B24" s="11" t="n">
        <v>1</v>
      </c>
      <c r="C24" s="11">
        <f>SUMIFS(Decklist!A4:A200,Decklist!E4:E200,B24,Decklist!B4:B200,"&lt;&gt;Lands")</f>
        <v/>
      </c>
    </row>
    <row r="25" ht="15" customHeight="1">
      <c r="B25" s="11" t="n">
        <v>2</v>
      </c>
      <c r="C25" s="11">
        <f>SUMIFS(Decklist!A4:A200,Decklist!E4:E200,B25,Decklist!B4:B200,"&lt;&gt;Lands")</f>
        <v/>
      </c>
    </row>
    <row r="26" ht="15" customHeight="1">
      <c r="B26" s="11" t="n">
        <v>3</v>
      </c>
      <c r="C26" s="11">
        <f>SUMIFS(Decklist!A4:A200,Decklist!E4:E200,B26,Decklist!B4:B200,"&lt;&gt;Lands")</f>
        <v/>
      </c>
    </row>
    <row r="27" ht="15" customHeight="1">
      <c r="B27" s="11" t="n">
        <v>4</v>
      </c>
      <c r="C27" s="11">
        <f>SUMIFS(Decklist!A4:A200,Decklist!E4:E200,B27,Decklist!B4:B200,"&lt;&gt;Lands")</f>
        <v/>
      </c>
    </row>
    <row r="28" ht="15" customHeight="1">
      <c r="B28" s="11" t="n">
        <v>5</v>
      </c>
      <c r="C28" s="11">
        <f>SUMIFS(Decklist!A4:A200,Decklist!E4:E200,B28,Decklist!B4:B200,"&lt;&gt;Lands")</f>
        <v/>
      </c>
    </row>
    <row r="29" ht="15" customHeight="1">
      <c r="B29" s="11" t="n">
        <v>6</v>
      </c>
      <c r="C29" s="11">
        <f>SUMIFS(Decklist!A4:A200,Decklist!E4:E200,B29,Decklist!B4:B200,"&lt;&gt;Lands")</f>
        <v/>
      </c>
    </row>
    <row r="30" ht="15" customHeight="1">
      <c r="B30" s="11" t="n">
        <v>7</v>
      </c>
      <c r="C30" s="11">
        <f>SUMIFS(Decklist!A4:A200,Decklist!E4:E200,B30,Decklist!B4:B200,"&lt;&gt;Lands")</f>
        <v/>
      </c>
    </row>
    <row r="31" ht="15" customHeight="1">
      <c r="B31" s="11" t="n">
        <v>8</v>
      </c>
      <c r="C31" s="11">
        <f>SUMIFS(Decklist!A4:A200,Decklist!E4:E200,B31,Decklist!B4:B200,"&lt;&gt;Lands")</f>
        <v/>
      </c>
    </row>
    <row r="32" ht="15" customHeight="1">
      <c r="B32" s="11" t="n">
        <v>9</v>
      </c>
      <c r="C32" s="11">
        <f>SUMIFS(Decklist!A4:A200,Decklist!E4:E200,B32,Decklist!B4:B200,"&lt;&gt;Lands")</f>
        <v/>
      </c>
    </row>
    <row r="35" ht="17.35" customHeight="1">
      <c r="B35" s="8" t="inlineStr">
        <is>
          <t>Category Breakdown</t>
        </is>
      </c>
    </row>
    <row r="36">
      <c r="B36" s="9" t="inlineStr">
        <is>
          <t>Category</t>
        </is>
      </c>
      <c r="C36" s="9" t="inlineStr">
        <is>
          <t>Count</t>
        </is>
      </c>
    </row>
    <row r="37" ht="15" customHeight="1">
      <c r="B37" s="10" t="inlineStr">
        <is>
          <t>Commander</t>
        </is>
      </c>
      <c r="C37" s="11">
        <f>SUMIF(Decklist!B4:B200,B37,Decklist!A4:A200)</f>
        <v/>
      </c>
    </row>
    <row r="38" ht="15" customHeight="1">
      <c r="B38" s="10" t="inlineStr">
        <is>
          <t>Voting &amp; Council's Dilemma</t>
        </is>
      </c>
      <c r="C38" s="11">
        <f>SUMIF(Decklist!B4:B200,B38,Decklist!A4:A200)</f>
        <v/>
      </c>
    </row>
    <row r="39" ht="15" customHeight="1">
      <c r="B39" s="10" t="inlineStr">
        <is>
          <t>Blink &amp; Reuse</t>
        </is>
      </c>
      <c r="C39" s="11">
        <f>SUMIF(Decklist!B4:B200,B39,Decklist!A4:A200)</f>
        <v/>
      </c>
    </row>
    <row r="40" ht="15" customHeight="1">
      <c r="B40" s="10" t="inlineStr">
        <is>
          <t>Token &amp; Artifact Payoffs</t>
        </is>
      </c>
      <c r="C40" s="11">
        <f>SUMIF(Decklist!B4:B200,B40,Decklist!A4:A200)</f>
        <v/>
      </c>
    </row>
    <row r="41" ht="15" customHeight="1">
      <c r="B41" s="10" t="inlineStr">
        <is>
          <t>Card Advantage</t>
        </is>
      </c>
      <c r="C41" s="11">
        <f>SUMIF(Decklist!B4:B200,B41,Decklist!A4:A200)</f>
        <v/>
      </c>
    </row>
    <row r="42" ht="15" customHeight="1">
      <c r="B42" s="10" t="inlineStr">
        <is>
          <t>Ramp &amp; Fixing</t>
        </is>
      </c>
      <c r="C42" s="11">
        <f>SUMIF(Decklist!B4:B200,B42,Decklist!A4:A200)</f>
        <v/>
      </c>
    </row>
    <row r="43" ht="15" customHeight="1">
      <c r="B43" s="10" t="inlineStr">
        <is>
          <t>Removal &amp; Interaction</t>
        </is>
      </c>
      <c r="C43" s="11">
        <f>SUMIF(Decklist!B4:B200,B43,Decklist!A4:A200)</f>
        <v/>
      </c>
    </row>
    <row r="44" ht="15" customHeight="1">
      <c r="B44" s="10" t="inlineStr">
        <is>
          <t>Protection &amp; Taxation</t>
        </is>
      </c>
      <c r="C44" s="11">
        <f>SUMIF(Decklist!B4:B200,B44,Decklist!A4:A200)</f>
        <v/>
      </c>
    </row>
    <row r="45" ht="15" customHeight="1">
      <c r="B45" s="10" t="inlineStr">
        <is>
          <t>Lands</t>
        </is>
      </c>
      <c r="C45" s="11">
        <f>SUMIF(Decklist!B4:B200,B45,Decklist!A4:A200)</f>
        <v/>
      </c>
    </row>
    <row r="46" ht="15" customHeight="1">
      <c r="B46" s="10" t="inlineStr">
        <is>
          <t>Total</t>
        </is>
      </c>
      <c r="C46" s="10">
        <f>SUM(C37:C45)</f>
        <v/>
      </c>
    </row>
    <row r="49" ht="17.35" customHeight="1">
      <c r="B49" s="8" t="inlineStr">
        <is>
          <t>Card Type Breakdown</t>
        </is>
      </c>
    </row>
    <row r="50">
      <c r="B50" s="9" t="inlineStr">
        <is>
          <t>Card Type</t>
        </is>
      </c>
      <c r="C50" s="9" t="inlineStr">
        <is>
          <t>Count</t>
        </is>
      </c>
    </row>
    <row r="51" ht="15" customHeight="1">
      <c r="B51" s="10" t="inlineStr">
        <is>
          <t>Creature</t>
        </is>
      </c>
      <c r="C51" s="11">
        <f>SUMIF(Decklist!D4:D200,B51,Decklist!A4:A200)</f>
        <v/>
      </c>
    </row>
    <row r="52" ht="15" customHeight="1">
      <c r="B52" s="10" t="inlineStr">
        <is>
          <t>Instant</t>
        </is>
      </c>
      <c r="C52" s="11">
        <f>SUMIF(Decklist!D4:D200,B52,Decklist!A4:A200)</f>
        <v/>
      </c>
    </row>
    <row r="53" ht="15" customHeight="1">
      <c r="B53" s="10" t="inlineStr">
        <is>
          <t>Sorcery</t>
        </is>
      </c>
      <c r="C53" s="11">
        <f>SUMIF(Decklist!D4:D200,B53,Decklist!A4:A200)</f>
        <v/>
      </c>
    </row>
    <row r="54" ht="15" customHeight="1">
      <c r="B54" s="10" t="inlineStr">
        <is>
          <t>Artifact</t>
        </is>
      </c>
      <c r="C54" s="11">
        <f>SUMIF(Decklist!D4:D200,B54,Decklist!A4:A200)</f>
        <v/>
      </c>
    </row>
    <row r="55" ht="15" customHeight="1">
      <c r="B55" s="10" t="inlineStr">
        <is>
          <t>Enchantment</t>
        </is>
      </c>
      <c r="C55" s="11">
        <f>SUMIF(Decklist!D4:D200,B55,Decklist!A4:A200)</f>
        <v/>
      </c>
    </row>
    <row r="56" ht="15" customHeight="1">
      <c r="B56" s="10" t="inlineStr">
        <is>
          <t>Land</t>
        </is>
      </c>
      <c r="C56" s="11">
        <f>SUMIF(Decklist!D4:D200,B56,Decklist!A4:A200)</f>
        <v/>
      </c>
    </row>
    <row r="57" ht="15" customHeight="1">
      <c r="B57" s="10" t="inlineStr">
        <is>
          <t>Total</t>
        </is>
      </c>
      <c r="C57" s="10">
        <f>SUM(C51:C56)</f>
        <v/>
      </c>
    </row>
    <row r="60" ht="17.35" customHeight="1">
      <c r="B60" s="8" t="inlineStr">
        <is>
          <t>Notes on this sheet</t>
        </is>
      </c>
    </row>
    <row r="61" ht="15" customHeight="1">
      <c r="B61" s="16" t="inlineStr">
        <is>
          <t>• Mana value, card type, colour identity and price in the Decklist sheet are FETCHED FROM SCRYFALL by build_tivit_xlsx.py, not typed by hand. Re-run it to refresh prices.</t>
        </is>
      </c>
    </row>
    <row r="62" ht="15" customHeight="1">
      <c r="B62" s="16" t="inlineStr">
        <is>
          <t>• Prices are Scryfall's USD mid, and are missing for a few printings; those fall back to foil, then to 0. Check before ordering.</t>
        </is>
      </c>
    </row>
    <row r="63" ht="15" customHeight="1">
      <c r="B63" s="16" t="inlineStr">
        <is>
          <t>• Yellow cells are inputs. C9 (FX rate) is carried over from the Karlov v2 and Lorehold v16 books at 1 USD = 1.4203 CAD.</t>
        </is>
      </c>
    </row>
    <row r="64" ht="15" customHeight="1">
      <c r="B64" s="16" t="inlineStr">
        <is>
          <t>• Collection Status in column I is an input — everything starts at 'Needed'; set it to 'Owned' or 'Owned (Other Deck)' as you check.</t>
        </is>
      </c>
    </row>
    <row r="65" ht="15" customHeight="1">
      <c r="B65" s="16" t="inlineStr">
        <is>
          <t>• Torment of Hailfire is {X}{B}{B} and is counted at MV 2, i.e. X = 0, the same convention the Karlov book uses for Debt to the Deathless.</t>
        </is>
      </c>
    </row>
    <row r="66" ht="15" customHeight="1">
      <c r="B66" s="16" t="inlineStr">
        <is>
          <t>• Damn is counted at MV 2 ({B}{B}). Its wrath mode is the overload cost {2}{W}{W}, MV 4, which is neither the cast cost nor an average.</t>
        </is>
      </c>
    </row>
    <row r="67" ht="15" customHeight="1">
      <c r="B67" s="16" t="inlineStr">
        <is>
          <t>• Havengul Laboratory is a double-faced land; the front face is used for type and colour identity.</t>
        </is>
      </c>
    </row>
    <row r="68" ht="15" customHeight="1">
      <c r="B68" s="16" t="inlineStr">
        <is>
          <t>• Ancient Den, Seat of the Synod and Vault of Whispers are ARTIFACT lands. They count as Lands in the category breakdown and as Land in the type breakdown, but they are also live artifacts for Time Sieve, Disciple of the Vault and Marionette Master.</t>
        </is>
      </c>
    </row>
    <row r="69" ht="15" customHeight="1">
      <c r="B69" s="16" t="inlineStr">
        <is>
          <t>• EVERY DASHBOARD FORMULA RANGES TO ROW 200, deliberately. The Karlov v2 book had 34 formulas bounded to the last data row and silently dropped a card when the list grew; openpyxl does not rewrite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2026-09-06T00:42:04Z</dcterms:created>
  <dcterms:modified xsi:type="dcterms:W3CDTF">2026-09-06T00:42:04Z</dcterms:modified>
</cp:coreProperties>
</file>