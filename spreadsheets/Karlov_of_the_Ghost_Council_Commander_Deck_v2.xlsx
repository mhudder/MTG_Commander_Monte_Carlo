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ecklist" sheetId="1" state="visible" r:id="rId1"/>
    <sheet name="Dashboard" sheetId="2" state="visible" r:id="rId2"/>
  </sheets>
  <definedNames>
    <definedName name="_xlnm._FilterDatabase" localSheetId="0" hidden="1">'Decklist'!$A$3:$J$87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0.000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8B0000"/>
      <sz val="18"/>
    </font>
    <font>
      <name val="Segoe UI"/>
      <charset val="1"/>
      <family val="0"/>
      <b val="1"/>
      <color rgb="FFFFFFFF"/>
      <sz val="11"/>
    </font>
    <font>
      <name val="Segoe UI"/>
      <charset val="1"/>
      <family val="0"/>
      <sz val="11"/>
    </font>
    <font>
      <name val="Segoe UI"/>
      <charset val="1"/>
      <family val="0"/>
      <color rgb="FF555555"/>
      <sz val="12"/>
    </font>
    <font>
      <name val="Segoe UI"/>
      <charset val="1"/>
      <family val="0"/>
      <b val="1"/>
      <color rgb="FF8B0000"/>
      <sz val="14"/>
    </font>
    <font>
      <name val="Segoe UI"/>
      <charset val="1"/>
      <family val="0"/>
      <b val="1"/>
      <sz val="11"/>
    </font>
    <font>
      <name val="Segoe UI"/>
      <charset val="1"/>
      <family val="0"/>
      <i val="1"/>
      <color rgb="FF777777"/>
      <sz val="9"/>
    </font>
    <font>
      <name val="Segoe UI"/>
      <charset val="1"/>
      <family val="0"/>
      <color rgb="FF555555"/>
      <sz val="10"/>
    </font>
  </fonts>
  <fills count="4">
    <fill>
      <patternFill/>
    </fill>
    <fill>
      <patternFill patternType="gray125"/>
    </fill>
    <fill>
      <patternFill patternType="solid">
        <fgColor rgb="FF8B0000"/>
        <bgColor rgb="FF8000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right" vertical="bottom"/>
    </xf>
    <xf numFmtId="0" fontId="6" fillId="0" borderId="1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5" fontId="6" fillId="3" borderId="0" applyAlignment="1" pivotButton="0" quotePrefix="0" xfId="0">
      <alignment horizontal="general" vertical="bottom"/>
    </xf>
    <xf numFmtId="2" fontId="6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right" vertical="bottom"/>
    </xf>
    <xf numFmtId="0" fontId="6" fillId="0" borderId="1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5" fontId="6" fillId="3" borderId="0" applyAlignment="1" pivotButton="0" quotePrefix="0" xfId="0">
      <alignment horizontal="general" vertical="bottom"/>
    </xf>
    <xf numFmtId="2" fontId="6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8B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8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7" min="1" max="1"/>
    <col width="24" customWidth="1" style="17" min="2" max="2"/>
    <col width="34" customWidth="1" style="17" min="3" max="3"/>
    <col width="14" customWidth="1" style="17" min="4" max="4"/>
    <col width="11" customWidth="1" style="17" min="5" max="5"/>
    <col width="15" customWidth="1" style="17" min="6" max="6"/>
    <col width="11" customWidth="1" style="17" min="7" max="7"/>
    <col width="16" customWidth="1" style="17" min="8" max="8"/>
    <col width="20.57" customWidth="1" style="17" min="9" max="9"/>
    <col width="94" customWidth="1" style="17" min="10" max="10"/>
  </cols>
  <sheetData>
    <row r="1" ht="22.05" customHeight="1" s="18">
      <c r="A1" s="19" t="inlineStr">
        <is>
          <t>Karlov of the Ghost Council — Comprehensive Decklist (v2)</t>
        </is>
      </c>
    </row>
    <row r="2"/>
    <row r="3" ht="27.75" customHeight="1" s="18">
      <c r="A3" s="20" t="inlineStr">
        <is>
          <t>Quantity</t>
        </is>
      </c>
      <c r="B3" s="20" t="inlineStr">
        <is>
          <t>Category</t>
        </is>
      </c>
      <c r="C3" s="20" t="inlineStr">
        <is>
          <t>Card Name</t>
        </is>
      </c>
      <c r="D3" s="20" t="inlineStr">
        <is>
          <t>Card Type</t>
        </is>
      </c>
      <c r="E3" s="20" t="inlineStr">
        <is>
          <t>Mana Value</t>
        </is>
      </c>
      <c r="F3" s="20" t="inlineStr">
        <is>
          <t>Colour Identity</t>
        </is>
      </c>
      <c r="G3" s="20" t="inlineStr">
        <is>
          <t>Key Card?</t>
        </is>
      </c>
      <c r="H3" s="20" t="inlineStr">
        <is>
          <t>Est. Cost (USD)</t>
        </is>
      </c>
      <c r="I3" s="20" t="inlineStr">
        <is>
          <t>Collection Status</t>
        </is>
      </c>
      <c r="J3" s="20" t="inlineStr">
        <is>
          <t>Notes &amp; Strategy</t>
        </is>
      </c>
    </row>
    <row r="4" ht="15" customHeight="1" s="18">
      <c r="A4" s="21" t="n">
        <v>1</v>
      </c>
      <c r="B4" s="22" t="inlineStr">
        <is>
          <t>Commander</t>
        </is>
      </c>
      <c r="C4" s="22" t="inlineStr">
        <is>
          <t>Karlov of the Ghost Council</t>
        </is>
      </c>
      <c r="D4" s="22" t="inlineStr">
        <is>
          <t>Creature</t>
        </is>
      </c>
      <c r="E4" s="21" t="n">
        <v>2</v>
      </c>
      <c r="F4" s="21" t="inlineStr">
        <is>
          <t>W/B</t>
        </is>
      </c>
      <c r="G4" s="21" t="inlineStr">
        <is>
          <t>Yes</t>
        </is>
      </c>
      <c r="H4" s="23" t="n">
        <v>2</v>
      </c>
      <c r="I4" s="22" t="inlineStr">
        <is>
          <t>Needed</t>
        </is>
      </c>
      <c r="J4" s="24" t="inlineStr">
        <is>
          <t>Grows two counters per life-gain trigger; exile a creature by removing six counters.</t>
        </is>
      </c>
    </row>
    <row r="5" ht="15" customHeight="1" s="18">
      <c r="A5" s="21" t="n">
        <v>1</v>
      </c>
      <c r="B5" s="22" t="inlineStr">
        <is>
          <t>Lifegain Engines</t>
        </is>
      </c>
      <c r="C5" s="22" t="inlineStr">
        <is>
          <t>Sorin, Solemn Visitor</t>
        </is>
      </c>
      <c r="D5" s="22" t="inlineStr">
        <is>
          <t>Planeswalker</t>
        </is>
      </c>
      <c r="E5" s="21" t="n">
        <v>4</v>
      </c>
      <c r="F5" s="21" t="inlineStr">
        <is>
          <t>W/B</t>
        </is>
      </c>
      <c r="G5" s="21" t="inlineStr">
        <is>
          <t>No</t>
        </is>
      </c>
      <c r="H5" s="23" t="n">
        <v>5</v>
      </c>
      <c r="I5" s="22" t="inlineStr">
        <is>
          <t>Needed</t>
        </is>
      </c>
      <c r="J5" s="24" t="inlineStr">
        <is>
          <t>Team-wide lifelink swing turns combat into a pile of Karlov triggers.</t>
        </is>
      </c>
    </row>
    <row r="6" ht="15" customHeight="1" s="18">
      <c r="A6" s="21" t="n">
        <v>1</v>
      </c>
      <c r="B6" s="22" t="inlineStr">
        <is>
          <t>Lifegain Engines</t>
        </is>
      </c>
      <c r="C6" s="22" t="inlineStr">
        <is>
          <t>Sorin, Vengeful Bloodlord</t>
        </is>
      </c>
      <c r="D6" s="22" t="inlineStr">
        <is>
          <t>Planeswalker</t>
        </is>
      </c>
      <c r="E6" s="21" t="n">
        <v>4</v>
      </c>
      <c r="F6" s="21" t="inlineStr">
        <is>
          <t>W/B</t>
        </is>
      </c>
      <c r="G6" s="21" t="inlineStr">
        <is>
          <t>Yes</t>
        </is>
      </c>
      <c r="H6" s="23" t="n">
        <v>4</v>
      </c>
      <c r="I6" s="22" t="inlineStr">
        <is>
          <t>Needed</t>
        </is>
      </c>
      <c r="J6" s="24" t="inlineStr">
        <is>
          <t>Static lifelink for all your creatures; ultimate reanimates from either yard.</t>
        </is>
      </c>
    </row>
    <row r="7" ht="15" customHeight="1" s="18">
      <c r="A7" s="21" t="n">
        <v>1</v>
      </c>
      <c r="B7" s="22" t="inlineStr">
        <is>
          <t>Lifegain Engines</t>
        </is>
      </c>
      <c r="C7" s="22" t="inlineStr">
        <is>
          <t>Soul Warden</t>
        </is>
      </c>
      <c r="D7" s="22" t="inlineStr">
        <is>
          <t>Creature</t>
        </is>
      </c>
      <c r="E7" s="21" t="n">
        <v>1</v>
      </c>
      <c r="F7" s="21" t="inlineStr">
        <is>
          <t>W</t>
        </is>
      </c>
      <c r="G7" s="21" t="inlineStr">
        <is>
          <t>No</t>
        </is>
      </c>
      <c r="H7" s="23" t="n">
        <v>1</v>
      </c>
      <c r="I7" s="22" t="inlineStr">
        <is>
          <t>Needed</t>
        </is>
      </c>
      <c r="J7" s="24" t="inlineStr">
        <is>
          <t>Soul sister: a trigger for every creature entering, yours or theirs.</t>
        </is>
      </c>
    </row>
    <row r="8" ht="15" customHeight="1" s="18">
      <c r="A8" s="21" t="n">
        <v>1</v>
      </c>
      <c r="B8" s="22" t="inlineStr">
        <is>
          <t>Lifegain Engines</t>
        </is>
      </c>
      <c r="C8" s="22" t="inlineStr">
        <is>
          <t>Soulmender</t>
        </is>
      </c>
      <c r="D8" s="22" t="inlineStr">
        <is>
          <t>Creature</t>
        </is>
      </c>
      <c r="E8" s="21" t="n">
        <v>1</v>
      </c>
      <c r="F8" s="21" t="inlineStr">
        <is>
          <t>W</t>
        </is>
      </c>
      <c r="G8" s="21" t="inlineStr">
        <is>
          <t>No</t>
        </is>
      </c>
      <c r="H8" s="23" t="n">
        <v>0.25</v>
      </c>
      <c r="I8" s="22" t="inlineStr">
        <is>
          <t>Needed</t>
        </is>
      </c>
      <c r="J8" s="24" t="inlineStr">
        <is>
          <t>Repeatable one-mana life gain; cheapest way to grow Karlov each turn.</t>
        </is>
      </c>
    </row>
    <row r="9" ht="15" customHeight="1" s="18">
      <c r="A9" s="21" t="n">
        <v>1</v>
      </c>
      <c r="B9" s="22" t="inlineStr">
        <is>
          <t>Lifegain Engines</t>
        </is>
      </c>
      <c r="C9" s="22" t="inlineStr">
        <is>
          <t>Soul's Attendant</t>
        </is>
      </c>
      <c r="D9" s="22" t="inlineStr">
        <is>
          <t>Creature</t>
        </is>
      </c>
      <c r="E9" s="21" t="n">
        <v>1</v>
      </c>
      <c r="F9" s="21" t="inlineStr">
        <is>
          <t>W</t>
        </is>
      </c>
      <c r="G9" s="21" t="inlineStr">
        <is>
          <t>No</t>
        </is>
      </c>
      <c r="H9" s="23" t="n">
        <v>0.5</v>
      </c>
      <c r="I9" s="22" t="inlineStr">
        <is>
          <t>Needed</t>
        </is>
      </c>
      <c r="J9" s="24" t="inlineStr">
        <is>
          <t>Second Soul Warden; doubles up the incidental triggers.</t>
        </is>
      </c>
    </row>
    <row r="10" ht="15" customHeight="1" s="18">
      <c r="A10" s="21" t="n">
        <v>1</v>
      </c>
      <c r="B10" s="22" t="inlineStr">
        <is>
          <t>Protection &amp; Equipment</t>
        </is>
      </c>
      <c r="C10" s="22" t="inlineStr">
        <is>
          <t>Mother of Runes</t>
        </is>
      </c>
      <c r="D10" s="22" t="inlineStr">
        <is>
          <t>Creature</t>
        </is>
      </c>
      <c r="E10" s="21" t="n">
        <v>1</v>
      </c>
      <c r="F10" s="21" t="inlineStr">
        <is>
          <t>W</t>
        </is>
      </c>
      <c r="G10" s="21" t="inlineStr">
        <is>
          <t>No</t>
        </is>
      </c>
      <c r="H10" s="23" t="n">
        <v>8</v>
      </c>
      <c r="I10" s="22" t="inlineStr">
        <is>
          <t>Needed</t>
        </is>
      </c>
      <c r="J10" s="24" t="inlineStr">
        <is>
          <t>Protects Karlov from targeted removal for free every turn.</t>
        </is>
      </c>
    </row>
    <row r="11" ht="15" customHeight="1" s="18">
      <c r="A11" s="21" t="n">
        <v>1</v>
      </c>
      <c r="B11" s="22" t="inlineStr">
        <is>
          <t>Lifegain Payoffs</t>
        </is>
      </c>
      <c r="C11" s="22" t="inlineStr">
        <is>
          <t>Serra Ascendant</t>
        </is>
      </c>
      <c r="D11" s="22" t="inlineStr">
        <is>
          <t>Creature</t>
        </is>
      </c>
      <c r="E11" s="21" t="n">
        <v>1</v>
      </c>
      <c r="F11" s="21" t="inlineStr">
        <is>
          <t>W</t>
        </is>
      </c>
      <c r="G11" s="21" t="inlineStr">
        <is>
          <t>No</t>
        </is>
      </c>
      <c r="H11" s="23" t="n">
        <v>6</v>
      </c>
      <c r="I11" s="22" t="inlineStr">
        <is>
          <t>Needed</t>
        </is>
      </c>
      <c r="J11" s="24" t="inlineStr">
        <is>
          <t>6/6 lifelink flier for one mana once you are at 30 or more.</t>
        </is>
      </c>
    </row>
    <row r="12" ht="15" customHeight="1" s="18">
      <c r="A12" s="21" t="n">
        <v>1</v>
      </c>
      <c r="B12" s="22" t="inlineStr">
        <is>
          <t>Lifegain Payoffs</t>
        </is>
      </c>
      <c r="C12" s="22" t="inlineStr">
        <is>
          <t>Elas il-Kor, Sadistic Pilgrim</t>
        </is>
      </c>
      <c r="D12" s="22" t="inlineStr">
        <is>
          <t>Creature</t>
        </is>
      </c>
      <c r="E12" s="21" t="n">
        <v>2</v>
      </c>
      <c r="F12" s="21" t="inlineStr">
        <is>
          <t>W/B</t>
        </is>
      </c>
      <c r="G12" s="21" t="inlineStr">
        <is>
          <t>No</t>
        </is>
      </c>
      <c r="H12" s="23" t="n">
        <v>4</v>
      </c>
      <c r="I12" s="22" t="inlineStr">
        <is>
          <t>Needed</t>
        </is>
      </c>
      <c r="J12" s="24" t="inlineStr">
        <is>
          <t>Drains on every opposing death and gains on each of your creatures entering.</t>
        </is>
      </c>
    </row>
    <row r="13" ht="15" customHeight="1" s="18">
      <c r="A13" s="21" t="n">
        <v>1</v>
      </c>
      <c r="B13" s="22" t="inlineStr">
        <is>
          <t>Lifegain Payoffs</t>
        </is>
      </c>
      <c r="C13" s="22" t="inlineStr">
        <is>
          <t>Vizkopa Guildmage</t>
        </is>
      </c>
      <c r="D13" s="22" t="inlineStr">
        <is>
          <t>Creature</t>
        </is>
      </c>
      <c r="E13" s="21" t="n">
        <v>2</v>
      </c>
      <c r="F13" s="21" t="inlineStr">
        <is>
          <t>W/B</t>
        </is>
      </c>
      <c r="G13" s="21" t="inlineStr">
        <is>
          <t>Yes</t>
        </is>
      </c>
      <c r="H13" s="23" t="n">
        <v>1</v>
      </c>
      <c r="I13" s="22" t="inlineStr">
        <is>
          <t>Needed</t>
        </is>
      </c>
      <c r="J13" s="24" t="inlineStr">
        <is>
          <t>Second ability plus any big life gain is a one-card kill with Exquisite Blood.</t>
        </is>
      </c>
    </row>
    <row r="14" ht="15" customHeight="1" s="18">
      <c r="A14" s="21" t="n">
        <v>1</v>
      </c>
      <c r="B14" s="22" t="inlineStr">
        <is>
          <t>Lifegain Payoffs</t>
        </is>
      </c>
      <c r="C14" s="22" t="inlineStr">
        <is>
          <t>Blood Artist</t>
        </is>
      </c>
      <c r="D14" s="22" t="inlineStr">
        <is>
          <t>Creature</t>
        </is>
      </c>
      <c r="E14" s="21" t="n">
        <v>2</v>
      </c>
      <c r="F14" s="21" t="inlineStr">
        <is>
          <t>B</t>
        </is>
      </c>
      <c r="G14" s="21" t="inlineStr">
        <is>
          <t>Yes</t>
        </is>
      </c>
      <c r="H14" s="23" t="n">
        <v>2</v>
      </c>
      <c r="I14" s="22" t="inlineStr">
        <is>
          <t>Needed</t>
        </is>
      </c>
      <c r="J14" s="24" t="inlineStr">
        <is>
          <t>Drains one per creature death; combo piece with Exquisite Blood.</t>
        </is>
      </c>
    </row>
    <row r="15" ht="15" customHeight="1" s="18">
      <c r="A15" s="21" t="n">
        <v>1</v>
      </c>
      <c r="B15" s="22" t="inlineStr">
        <is>
          <t>Lifegain Engines</t>
        </is>
      </c>
      <c r="C15" s="22" t="inlineStr">
        <is>
          <t>Suture Priest</t>
        </is>
      </c>
      <c r="D15" s="22" t="inlineStr">
        <is>
          <t>Creature</t>
        </is>
      </c>
      <c r="E15" s="21" t="n">
        <v>2</v>
      </c>
      <c r="F15" s="21" t="inlineStr">
        <is>
          <t>W</t>
        </is>
      </c>
      <c r="G15" s="21" t="inlineStr">
        <is>
          <t>No</t>
        </is>
      </c>
      <c r="H15" s="23" t="n">
        <v>1.5</v>
      </c>
      <c r="I15" s="22" t="inlineStr">
        <is>
          <t>Needed</t>
        </is>
      </c>
      <c r="J15" s="24" t="inlineStr">
        <is>
          <t>Gain on your creatures, drain on theirs.</t>
        </is>
      </c>
    </row>
    <row r="16" ht="15" customHeight="1" s="18">
      <c r="A16" s="21" t="n">
        <v>1</v>
      </c>
      <c r="B16" s="22" t="inlineStr">
        <is>
          <t>Lifegain Engines</t>
        </is>
      </c>
      <c r="C16" s="22" t="inlineStr">
        <is>
          <t>Auriok Champion</t>
        </is>
      </c>
      <c r="D16" s="22" t="inlineStr">
        <is>
          <t>Creature</t>
        </is>
      </c>
      <c r="E16" s="21" t="n">
        <v>2</v>
      </c>
      <c r="F16" s="21" t="inlineStr">
        <is>
          <t>W</t>
        </is>
      </c>
      <c r="G16" s="21" t="inlineStr">
        <is>
          <t>No</t>
        </is>
      </c>
      <c r="H16" s="23" t="n">
        <v>20</v>
      </c>
      <c r="I16" s="22" t="inlineStr">
        <is>
          <t>Needed</t>
        </is>
      </c>
      <c r="J16" s="24" t="inlineStr">
        <is>
          <t>Protection from black and red makes it near-unkillable; steady triggers.</t>
        </is>
      </c>
    </row>
    <row r="17" ht="15" customHeight="1" s="18">
      <c r="A17" s="21" t="n">
        <v>1</v>
      </c>
      <c r="B17" s="22" t="inlineStr">
        <is>
          <t>Lifegain Engines</t>
        </is>
      </c>
      <c r="C17" s="22" t="inlineStr">
        <is>
          <t>Daxos, Blessed by the Sun</t>
        </is>
      </c>
      <c r="D17" s="22" t="inlineStr">
        <is>
          <t>Enchantment Creature</t>
        </is>
      </c>
      <c r="E17" s="21" t="n">
        <v>2</v>
      </c>
      <c r="F17" s="21" t="inlineStr">
        <is>
          <t>W</t>
        </is>
      </c>
      <c r="G17" s="21" t="inlineStr">
        <is>
          <t>No</t>
        </is>
      </c>
      <c r="H17" s="23" t="n">
        <v>1</v>
      </c>
      <c r="I17" s="22" t="inlineStr">
        <is>
          <t>Needed</t>
        </is>
      </c>
      <c r="J17" s="24" t="inlineStr">
        <is>
          <t>Gains life on every creature entering or dying, and recurs as a Spirit.</t>
        </is>
      </c>
    </row>
    <row r="18" ht="15" customHeight="1" s="18">
      <c r="A18" s="21" t="n">
        <v>1</v>
      </c>
      <c r="B18" s="22" t="inlineStr">
        <is>
          <t>Lifegain Payoffs</t>
        </is>
      </c>
      <c r="C18" s="22" t="inlineStr">
        <is>
          <t>Cliffhaven Vampire</t>
        </is>
      </c>
      <c r="D18" s="22" t="inlineStr">
        <is>
          <t>Creature</t>
        </is>
      </c>
      <c r="E18" s="21" t="n">
        <v>4</v>
      </c>
      <c r="F18" s="21" t="inlineStr">
        <is>
          <t>W/B</t>
        </is>
      </c>
      <c r="G18" s="21" t="inlineStr">
        <is>
          <t>No</t>
        </is>
      </c>
      <c r="H18" s="23" t="n">
        <v>0.25</v>
      </c>
      <c r="I18" s="22" t="inlineStr">
        <is>
          <t>Needed</t>
        </is>
      </c>
      <c r="J18" s="24" t="inlineStr">
        <is>
          <t>Every life-gain event drains an opponent for the same amount.</t>
        </is>
      </c>
    </row>
    <row r="19" ht="15" customHeight="1" s="18">
      <c r="A19" s="21" t="n">
        <v>1</v>
      </c>
      <c r="B19" s="22" t="inlineStr">
        <is>
          <t>Lifegain Payoffs</t>
        </is>
      </c>
      <c r="C19" s="22" t="inlineStr">
        <is>
          <t>Voice of the Blessed</t>
        </is>
      </c>
      <c r="D19" s="22" t="inlineStr">
        <is>
          <t>Creature</t>
        </is>
      </c>
      <c r="E19" s="21" t="n">
        <v>2</v>
      </c>
      <c r="F19" s="21" t="inlineStr">
        <is>
          <t>W</t>
        </is>
      </c>
      <c r="G19" s="21" t="inlineStr">
        <is>
          <t>No</t>
        </is>
      </c>
      <c r="H19" s="23" t="n">
        <v>1</v>
      </c>
      <c r="I19" s="22" t="inlineStr">
        <is>
          <t>Needed</t>
        </is>
      </c>
      <c r="J19" s="24" t="inlineStr">
        <is>
          <t>Counters on every life-gain trigger; gains flying, vigilance and indestructible.</t>
        </is>
      </c>
    </row>
    <row r="20" ht="15" customHeight="1" s="18">
      <c r="A20" s="21" t="n">
        <v>1</v>
      </c>
      <c r="B20" s="22" t="inlineStr">
        <is>
          <t>Lifegain Payoffs</t>
        </is>
      </c>
      <c r="C20" s="22" t="inlineStr">
        <is>
          <t>Drana's Emissary</t>
        </is>
      </c>
      <c r="D20" s="22" t="inlineStr">
        <is>
          <t>Creature</t>
        </is>
      </c>
      <c r="E20" s="21" t="n">
        <v>3</v>
      </c>
      <c r="F20" s="21" t="inlineStr">
        <is>
          <t>W/B</t>
        </is>
      </c>
      <c r="G20" s="21" t="inlineStr">
        <is>
          <t>No</t>
        </is>
      </c>
      <c r="H20" s="23" t="n">
        <v>0.5</v>
      </c>
      <c r="I20" s="22" t="inlineStr">
        <is>
          <t>Needed</t>
        </is>
      </c>
      <c r="J20" s="24" t="inlineStr">
        <is>
          <t>Upkeep drain: guaranteed trigger every turn even with an empty board.</t>
        </is>
      </c>
    </row>
    <row r="21" ht="15" customHeight="1" s="18">
      <c r="A21" s="21" t="n">
        <v>1</v>
      </c>
      <c r="B21" s="22" t="inlineStr">
        <is>
          <t>Lifegain Payoffs</t>
        </is>
      </c>
      <c r="C21" s="22" t="inlineStr">
        <is>
          <t>Marauding Blight-Priest</t>
        </is>
      </c>
      <c r="D21" s="22" t="inlineStr">
        <is>
          <t>Creature</t>
        </is>
      </c>
      <c r="E21" s="21" t="n">
        <v>3</v>
      </c>
      <c r="F21" s="21" t="inlineStr">
        <is>
          <t>B</t>
        </is>
      </c>
      <c r="G21" s="21" t="inlineStr">
        <is>
          <t>No</t>
        </is>
      </c>
      <c r="H21" s="23" t="n">
        <v>0.5</v>
      </c>
      <c r="I21" s="22" t="inlineStr">
        <is>
          <t>Needed</t>
        </is>
      </c>
      <c r="J21" s="24" t="inlineStr">
        <is>
          <t>Turns each life-gain trigger into one damage to each opponent.</t>
        </is>
      </c>
    </row>
    <row r="22" ht="15" customHeight="1" s="18">
      <c r="A22" s="21" t="n">
        <v>1</v>
      </c>
      <c r="B22" s="22" t="inlineStr">
        <is>
          <t>Lifegain Payoffs</t>
        </is>
      </c>
      <c r="C22" s="22" t="inlineStr">
        <is>
          <t>Kambal, Consul of Allocation</t>
        </is>
      </c>
      <c r="D22" s="22" t="inlineStr">
        <is>
          <t>Creature</t>
        </is>
      </c>
      <c r="E22" s="21" t="n">
        <v>3</v>
      </c>
      <c r="F22" s="21" t="inlineStr">
        <is>
          <t>W/B</t>
        </is>
      </c>
      <c r="G22" s="21" t="inlineStr">
        <is>
          <t>No</t>
        </is>
      </c>
      <c r="H22" s="23" t="n">
        <v>3</v>
      </c>
      <c r="I22" s="22" t="inlineStr">
        <is>
          <t>Needed</t>
        </is>
      </c>
      <c r="J22" s="24" t="inlineStr">
        <is>
          <t>Taxes every noncreature spell; a Karlov trigger on each opposing spell.</t>
        </is>
      </c>
    </row>
    <row r="23" ht="15" customHeight="1" s="18">
      <c r="A23" s="21" t="n">
        <v>1</v>
      </c>
      <c r="B23" s="22" t="inlineStr">
        <is>
          <t>Card Advantage</t>
        </is>
      </c>
      <c r="C23" s="22" t="inlineStr">
        <is>
          <t>Lurrus of the Dream-Den</t>
        </is>
      </c>
      <c r="D23" s="22" t="inlineStr">
        <is>
          <t>Creature</t>
        </is>
      </c>
      <c r="E23" s="21" t="n">
        <v>3</v>
      </c>
      <c r="F23" s="21" t="inlineStr">
        <is>
          <t>W/B</t>
        </is>
      </c>
      <c r="G23" s="21" t="inlineStr">
        <is>
          <t>No</t>
        </is>
      </c>
      <c r="H23" s="23" t="n">
        <v>4</v>
      </c>
      <c r="I23" s="22" t="inlineStr">
        <is>
          <t>Needed</t>
        </is>
      </c>
      <c r="J23" s="24" t="inlineStr">
        <is>
          <t>Recurs a cheap permanent each turn; the deck is dense with two-drops.</t>
        </is>
      </c>
    </row>
    <row r="24" ht="15" customHeight="1" s="18">
      <c r="A24" s="21" t="n">
        <v>1</v>
      </c>
      <c r="B24" s="22" t="inlineStr">
        <is>
          <t>Lifegain Payoffs</t>
        </is>
      </c>
      <c r="C24" s="22" t="inlineStr">
        <is>
          <t>Vito, Thorn of the Dusk Rose</t>
        </is>
      </c>
      <c r="D24" s="22" t="inlineStr">
        <is>
          <t>Creature</t>
        </is>
      </c>
      <c r="E24" s="21" t="n">
        <v>3</v>
      </c>
      <c r="F24" s="21" t="inlineStr">
        <is>
          <t>B</t>
        </is>
      </c>
      <c r="G24" s="21" t="inlineStr">
        <is>
          <t>Yes</t>
        </is>
      </c>
      <c r="H24" s="23" t="n">
        <v>5</v>
      </c>
      <c r="I24" s="22" t="inlineStr">
        <is>
          <t>Needed</t>
        </is>
      </c>
      <c r="J24" s="24" t="inlineStr">
        <is>
          <t>Life gain becomes loss of life; with Exquisite Blood it is an instant loop.</t>
        </is>
      </c>
    </row>
    <row r="25" ht="15" customHeight="1" s="18">
      <c r="A25" s="21" t="n">
        <v>1</v>
      </c>
      <c r="B25" s="22" t="inlineStr">
        <is>
          <t>Card Advantage</t>
        </is>
      </c>
      <c r="C25" s="22" t="inlineStr">
        <is>
          <t>Ranger of Eos</t>
        </is>
      </c>
      <c r="D25" s="22" t="inlineStr">
        <is>
          <t>Creature</t>
        </is>
      </c>
      <c r="E25" s="21" t="n">
        <v>4</v>
      </c>
      <c r="F25" s="21" t="inlineStr">
        <is>
          <t>W</t>
        </is>
      </c>
      <c r="G25" s="21" t="inlineStr">
        <is>
          <t>No</t>
        </is>
      </c>
      <c r="H25" s="23" t="n">
        <v>2</v>
      </c>
      <c r="I25" s="22" t="inlineStr">
        <is>
          <t>Needed</t>
        </is>
      </c>
      <c r="J25" s="24" t="inlineStr">
        <is>
          <t>Tutors two one-drops: Soul Warden, Soulmender, Serra Ascendant, Mother of Runes.</t>
        </is>
      </c>
    </row>
    <row r="26" ht="15" customHeight="1" s="18">
      <c r="A26" s="21" t="n">
        <v>1</v>
      </c>
      <c r="B26" s="22" t="inlineStr">
        <is>
          <t>Lifegain Engines</t>
        </is>
      </c>
      <c r="C26" s="22" t="inlineStr">
        <is>
          <t>Kalitas, Traitor of Ghet</t>
        </is>
      </c>
      <c r="D26" s="22" t="inlineStr">
        <is>
          <t>Creature</t>
        </is>
      </c>
      <c r="E26" s="21" t="n">
        <v>4</v>
      </c>
      <c r="F26" s="21" t="inlineStr">
        <is>
          <t>B</t>
        </is>
      </c>
      <c r="G26" s="21" t="inlineStr">
        <is>
          <t>No</t>
        </is>
      </c>
      <c r="H26" s="23" t="n">
        <v>10</v>
      </c>
      <c r="I26" s="22" t="inlineStr">
        <is>
          <t>Needed</t>
        </is>
      </c>
      <c r="J26" s="24" t="inlineStr">
        <is>
          <t>Lifelink body that exiles opposing dying creatures and builds Zombies.</t>
        </is>
      </c>
    </row>
    <row r="27" ht="15" customHeight="1" s="18">
      <c r="A27" s="21" t="n">
        <v>1</v>
      </c>
      <c r="B27" s="22" t="inlineStr">
        <is>
          <t>Lifegain Engines</t>
        </is>
      </c>
      <c r="C27" s="22" t="inlineStr">
        <is>
          <t>Sunscorch Regent</t>
        </is>
      </c>
      <c r="D27" s="22" t="inlineStr">
        <is>
          <t>Creature</t>
        </is>
      </c>
      <c r="E27" s="21" t="n">
        <v>5</v>
      </c>
      <c r="F27" s="21" t="inlineStr">
        <is>
          <t>W</t>
        </is>
      </c>
      <c r="G27" s="21" t="inlineStr">
        <is>
          <t>No</t>
        </is>
      </c>
      <c r="H27" s="23" t="n">
        <v>0.5</v>
      </c>
      <c r="I27" s="22" t="inlineStr">
        <is>
          <t>Needed</t>
        </is>
      </c>
      <c r="J27" s="24" t="inlineStr">
        <is>
          <t>Gains a life and a counter every time an opponent casts a spell.</t>
        </is>
      </c>
    </row>
    <row r="28" ht="15" customHeight="1" s="18">
      <c r="A28" s="21" t="n">
        <v>1</v>
      </c>
      <c r="B28" s="22" t="inlineStr">
        <is>
          <t>Lifegain Payoffs</t>
        </is>
      </c>
      <c r="C28" s="22" t="inlineStr">
        <is>
          <t>Archangel of Thune</t>
        </is>
      </c>
      <c r="D28" s="22" t="inlineStr">
        <is>
          <t>Creature</t>
        </is>
      </c>
      <c r="E28" s="21" t="n">
        <v>5</v>
      </c>
      <c r="F28" s="21" t="inlineStr">
        <is>
          <t>W</t>
        </is>
      </c>
      <c r="G28" s="21" t="inlineStr">
        <is>
          <t>Yes</t>
        </is>
      </c>
      <c r="H28" s="23" t="n">
        <v>12</v>
      </c>
      <c r="I28" s="22" t="inlineStr">
        <is>
          <t>Needed</t>
        </is>
      </c>
      <c r="J28" s="24" t="inlineStr">
        <is>
          <t>Every life-gain trigger pumps the whole board; ends games quickly.</t>
        </is>
      </c>
    </row>
    <row r="29" ht="15" customHeight="1" s="18">
      <c r="A29" s="21" t="n">
        <v>1</v>
      </c>
      <c r="B29" s="22" t="inlineStr">
        <is>
          <t>Lifegain Payoffs</t>
        </is>
      </c>
      <c r="C29" s="22" t="inlineStr">
        <is>
          <t>Syr Konrad, the Grim</t>
        </is>
      </c>
      <c r="D29" s="22" t="inlineStr">
        <is>
          <t>Creature</t>
        </is>
      </c>
      <c r="E29" s="21" t="n">
        <v>5</v>
      </c>
      <c r="F29" s="21" t="inlineStr">
        <is>
          <t>B</t>
        </is>
      </c>
      <c r="G29" s="21" t="inlineStr">
        <is>
          <t>No</t>
        </is>
      </c>
      <c r="H29" s="23" t="n">
        <v>3</v>
      </c>
      <c r="I29" s="22" t="inlineStr">
        <is>
          <t>Needed</t>
        </is>
      </c>
      <c r="J29" s="24" t="inlineStr">
        <is>
          <t>Damage on every creature death or mill; a second drain axis.</t>
        </is>
      </c>
    </row>
    <row r="30" ht="15" customHeight="1" s="18">
      <c r="A30" s="21" t="n">
        <v>1</v>
      </c>
      <c r="B30" s="22" t="inlineStr">
        <is>
          <t>Lifegain Payoffs</t>
        </is>
      </c>
      <c r="C30" s="22" t="inlineStr">
        <is>
          <t>Felidar Sovereign</t>
        </is>
      </c>
      <c r="D30" s="22" t="inlineStr">
        <is>
          <t>Creature</t>
        </is>
      </c>
      <c r="E30" s="21" t="n">
        <v>6</v>
      </c>
      <c r="F30" s="21" t="inlineStr">
        <is>
          <t>W</t>
        </is>
      </c>
      <c r="G30" s="21" t="inlineStr">
        <is>
          <t>No</t>
        </is>
      </c>
      <c r="H30" s="23" t="n">
        <v>3</v>
      </c>
      <c r="I30" s="22" t="inlineStr">
        <is>
          <t>Needed</t>
        </is>
      </c>
      <c r="J30" s="24" t="inlineStr">
        <is>
          <t>Alternate win at 40 life; realistic in this deck by turn eight or nine.</t>
        </is>
      </c>
    </row>
    <row r="31" ht="15" customHeight="1" s="18">
      <c r="A31" s="21" t="n">
        <v>1</v>
      </c>
      <c r="B31" s="22" t="inlineStr">
        <is>
          <t>Card Advantage</t>
        </is>
      </c>
      <c r="C31" s="22" t="inlineStr">
        <is>
          <t>Sun Titan</t>
        </is>
      </c>
      <c r="D31" s="22" t="inlineStr">
        <is>
          <t>Creature</t>
        </is>
      </c>
      <c r="E31" s="21" t="n">
        <v>6</v>
      </c>
      <c r="F31" s="21" t="inlineStr">
        <is>
          <t>W</t>
        </is>
      </c>
      <c r="G31" s="21" t="inlineStr">
        <is>
          <t>No</t>
        </is>
      </c>
      <c r="H31" s="23" t="n">
        <v>2</v>
      </c>
      <c r="I31" s="22" t="inlineStr">
        <is>
          <t>Needed</t>
        </is>
      </c>
      <c r="J31" s="24" t="inlineStr">
        <is>
          <t>Recurs a permanent of mana value three or less on every attack.</t>
        </is>
      </c>
    </row>
    <row r="32" ht="15" customHeight="1" s="18">
      <c r="A32" s="21" t="n">
        <v>1</v>
      </c>
      <c r="B32" s="22" t="inlineStr">
        <is>
          <t>Card Advantage</t>
        </is>
      </c>
      <c r="C32" s="22" t="inlineStr">
        <is>
          <t>Sensei's Divining Top</t>
        </is>
      </c>
      <c r="D32" s="22" t="inlineStr">
        <is>
          <t>Artifact</t>
        </is>
      </c>
      <c r="E32" s="21" t="n">
        <v>1</v>
      </c>
      <c r="F32" s="21" t="inlineStr">
        <is>
          <t>C</t>
        </is>
      </c>
      <c r="G32" s="21" t="inlineStr">
        <is>
          <t>No</t>
        </is>
      </c>
      <c r="H32" s="23" t="n">
        <v>25</v>
      </c>
      <c r="I32" s="22" t="inlineStr">
        <is>
          <t>Needed</t>
        </is>
      </c>
      <c r="J32" s="24" t="inlineStr">
        <is>
          <t>Smooths every draw; excellent with Well of Lost Dreams and Land Tax.</t>
        </is>
      </c>
    </row>
    <row r="33" ht="15" customHeight="1" s="18">
      <c r="A33" s="21" t="n">
        <v>1</v>
      </c>
      <c r="B33" s="22" t="inlineStr">
        <is>
          <t>Lifegain Engines</t>
        </is>
      </c>
      <c r="C33" s="22" t="inlineStr">
        <is>
          <t>Fountain of Renewal</t>
        </is>
      </c>
      <c r="D33" s="22" t="inlineStr">
        <is>
          <t>Artifact</t>
        </is>
      </c>
      <c r="E33" s="21" t="n">
        <v>1</v>
      </c>
      <c r="F33" s="21" t="inlineStr">
        <is>
          <t>C</t>
        </is>
      </c>
      <c r="G33" s="21" t="inlineStr">
        <is>
          <t>No</t>
        </is>
      </c>
      <c r="H33" s="23" t="n">
        <v>0.25</v>
      </c>
      <c r="I33" s="22" t="inlineStr">
        <is>
          <t>Needed</t>
        </is>
      </c>
      <c r="J33" s="24" t="inlineStr">
        <is>
          <t>One life per upkeep for free, and cashes in for a card later.</t>
        </is>
      </c>
    </row>
    <row r="34" ht="15" customHeight="1" s="18">
      <c r="A34" s="21" t="n">
        <v>1</v>
      </c>
      <c r="B34" s="22" t="inlineStr">
        <is>
          <t>Ramp &amp; Fixing</t>
        </is>
      </c>
      <c r="C34" s="22" t="inlineStr">
        <is>
          <t>Sol Ring</t>
        </is>
      </c>
      <c r="D34" s="22" t="inlineStr">
        <is>
          <t>Artifact</t>
        </is>
      </c>
      <c r="E34" s="21" t="n">
        <v>1</v>
      </c>
      <c r="F34" s="21" t="inlineStr">
        <is>
          <t>C</t>
        </is>
      </c>
      <c r="G34" s="21" t="inlineStr">
        <is>
          <t>No</t>
        </is>
      </c>
      <c r="H34" s="23" t="n">
        <v>2</v>
      </c>
      <c r="I34" s="22" t="inlineStr">
        <is>
          <t>Needed</t>
        </is>
      </c>
      <c r="J34" s="24" t="inlineStr">
        <is>
          <t>Two colourless on turn one; strongest ramp in the format.</t>
        </is>
      </c>
    </row>
    <row r="35" ht="15" customHeight="1" s="18">
      <c r="A35" s="21" t="n">
        <v>1</v>
      </c>
      <c r="B35" s="22" t="inlineStr">
        <is>
          <t>Ramp &amp; Fixing</t>
        </is>
      </c>
      <c r="C35" s="22" t="inlineStr">
        <is>
          <t>Orzhov Signet</t>
        </is>
      </c>
      <c r="D35" s="22" t="inlineStr">
        <is>
          <t>Artifact</t>
        </is>
      </c>
      <c r="E35" s="21" t="n">
        <v>2</v>
      </c>
      <c r="F35" s="21" t="inlineStr">
        <is>
          <t>C</t>
        </is>
      </c>
      <c r="G35" s="21" t="inlineStr">
        <is>
          <t>No</t>
        </is>
      </c>
      <c r="H35" s="23" t="n">
        <v>1</v>
      </c>
      <c r="I35" s="22" t="inlineStr">
        <is>
          <t>Needed</t>
        </is>
      </c>
      <c r="J35" s="24" t="inlineStr">
        <is>
          <t>Filters into W/B and ramps.</t>
        </is>
      </c>
    </row>
    <row r="36" ht="15" customHeight="1" s="18">
      <c r="A36" s="21" t="n">
        <v>1</v>
      </c>
      <c r="B36" s="22" t="inlineStr">
        <is>
          <t>Protection &amp; Equipment</t>
        </is>
      </c>
      <c r="C36" s="22" t="inlineStr">
        <is>
          <t>Swiftfoot Boots</t>
        </is>
      </c>
      <c r="D36" s="22" t="inlineStr">
        <is>
          <t>Artifact</t>
        </is>
      </c>
      <c r="E36" s="21" t="n">
        <v>2</v>
      </c>
      <c r="F36" s="21" t="inlineStr">
        <is>
          <t>C</t>
        </is>
      </c>
      <c r="G36" s="21" t="inlineStr">
        <is>
          <t>No</t>
        </is>
      </c>
      <c r="H36" s="23" t="n">
        <v>2</v>
      </c>
      <c r="I36" s="22" t="inlineStr">
        <is>
          <t>Needed</t>
        </is>
      </c>
      <c r="J36" s="24" t="inlineStr">
        <is>
          <t>Hexproof and haste for Karlov; lets him attack the turn he lands.</t>
        </is>
      </c>
    </row>
    <row r="37" ht="15" customHeight="1" s="18">
      <c r="A37" s="21" t="n">
        <v>1</v>
      </c>
      <c r="B37" s="22" t="inlineStr">
        <is>
          <t>Lifegain Payoffs</t>
        </is>
      </c>
      <c r="C37" s="22" t="inlineStr">
        <is>
          <t>Starscape Cleric</t>
        </is>
      </c>
      <c r="D37" s="22" t="inlineStr">
        <is>
          <t>Creature</t>
        </is>
      </c>
      <c r="E37" s="21" t="n">
        <v>2</v>
      </c>
      <c r="F37" s="21" t="inlineStr">
        <is>
          <t>B</t>
        </is>
      </c>
      <c r="G37" s="21" t="inlineStr">
        <is>
          <t>Yes</t>
        </is>
      </c>
      <c r="H37" s="23" t="n">
        <v>1</v>
      </c>
      <c r="I37" s="22" t="inlineStr">
        <is>
          <t>Needed</t>
        </is>
      </c>
      <c r="J37" s="24" t="inlineStr">
        <is>
          <t>Whenever you gain life, each opponent loses 1 life. Blight-Priest at half the cost, on a 2/1 flier. Offspring {2}{B}.</t>
        </is>
      </c>
    </row>
    <row r="38" ht="15" customHeight="1" s="18">
      <c r="A38" s="21" t="n">
        <v>1</v>
      </c>
      <c r="B38" s="22" t="inlineStr">
        <is>
          <t>Protection &amp; Equipment</t>
        </is>
      </c>
      <c r="C38" s="22" t="inlineStr">
        <is>
          <t>Umezawa's Jitte</t>
        </is>
      </c>
      <c r="D38" s="22" t="inlineStr">
        <is>
          <t>Artifact</t>
        </is>
      </c>
      <c r="E38" s="21" t="n">
        <v>2</v>
      </c>
      <c r="F38" s="21" t="inlineStr">
        <is>
          <t>C</t>
        </is>
      </c>
      <c r="G38" s="21" t="inlineStr">
        <is>
          <t>No</t>
        </is>
      </c>
      <c r="H38" s="23" t="n">
        <v>25</v>
      </c>
      <c r="I38" s="22" t="inlineStr">
        <is>
          <t>Needed</t>
        </is>
      </c>
      <c r="J38" s="24" t="inlineStr">
        <is>
          <t>Counters can be spent to gain four life, which is two more Karlov counters.</t>
        </is>
      </c>
    </row>
    <row r="39" ht="15" customHeight="1" s="18">
      <c r="A39" s="21" t="n">
        <v>1</v>
      </c>
      <c r="B39" s="22" t="inlineStr">
        <is>
          <t>Ramp &amp; Fixing</t>
        </is>
      </c>
      <c r="C39" s="22" t="inlineStr">
        <is>
          <t>Pristine Talisman</t>
        </is>
      </c>
      <c r="D39" s="22" t="inlineStr">
        <is>
          <t>Artifact</t>
        </is>
      </c>
      <c r="E39" s="21" t="n">
        <v>3</v>
      </c>
      <c r="F39" s="21" t="inlineStr">
        <is>
          <t>C</t>
        </is>
      </c>
      <c r="G39" s="21" t="inlineStr">
        <is>
          <t>No</t>
        </is>
      </c>
      <c r="H39" s="23" t="n">
        <v>0.5</v>
      </c>
      <c r="I39" s="22" t="inlineStr">
        <is>
          <t>Needed</t>
        </is>
      </c>
      <c r="J39" s="24" t="inlineStr">
        <is>
          <t>Ramp that gains a life on every tap; a trigger attached to your mana base.</t>
        </is>
      </c>
    </row>
    <row r="40" ht="15" customHeight="1" s="18">
      <c r="A40" s="21" t="n">
        <v>1</v>
      </c>
      <c r="B40" s="22" t="inlineStr">
        <is>
          <t>Lifegain Payoffs</t>
        </is>
      </c>
      <c r="C40" s="22" t="inlineStr">
        <is>
          <t>Enduring Tenacity</t>
        </is>
      </c>
      <c r="D40" s="22" t="inlineStr">
        <is>
          <t>Enchantment Creature</t>
        </is>
      </c>
      <c r="E40" s="21" t="n">
        <v>4</v>
      </c>
      <c r="F40" s="21" t="inlineStr">
        <is>
          <t>B</t>
        </is>
      </c>
      <c r="G40" s="21" t="inlineStr">
        <is>
          <t>Yes</t>
        </is>
      </c>
      <c r="H40" s="23" t="n">
        <v>3</v>
      </c>
      <c r="I40" s="22" t="inlineStr">
        <is>
          <t>Needed</t>
        </is>
      </c>
      <c r="J40" s="24" t="inlineStr">
        <is>
          <t>Whenever you gain life, target opponent loses that much life. A FOURTH Exquisite Blood combo piece. Returns as an enchantment when it dies.</t>
        </is>
      </c>
    </row>
    <row r="41" ht="15" customHeight="1" s="18">
      <c r="A41" s="21" t="n">
        <v>1</v>
      </c>
      <c r="B41" s="22" t="inlineStr">
        <is>
          <t>Card Advantage</t>
        </is>
      </c>
      <c r="C41" s="22" t="inlineStr">
        <is>
          <t>Cosmos Elixir</t>
        </is>
      </c>
      <c r="D41" s="22" t="inlineStr">
        <is>
          <t>Artifact</t>
        </is>
      </c>
      <c r="E41" s="21" t="n">
        <v>4</v>
      </c>
      <c r="F41" s="21" t="inlineStr">
        <is>
          <t>C</t>
        </is>
      </c>
      <c r="G41" s="21" t="inlineStr">
        <is>
          <t>No</t>
        </is>
      </c>
      <c r="H41" s="23" t="n">
        <v>2</v>
      </c>
      <c r="I41" s="22" t="inlineStr">
        <is>
          <t>Needed</t>
        </is>
      </c>
      <c r="J41" s="24" t="inlineStr">
        <is>
          <t>Draws an extra card in any turn you gained life.</t>
        </is>
      </c>
    </row>
    <row r="42" ht="15" customHeight="1" s="18">
      <c r="A42" s="21" t="n">
        <v>1</v>
      </c>
      <c r="B42" s="22" t="inlineStr">
        <is>
          <t>Card Advantage</t>
        </is>
      </c>
      <c r="C42" s="22" t="inlineStr">
        <is>
          <t>Well of Lost Dreams</t>
        </is>
      </c>
      <c r="D42" s="22" t="inlineStr">
        <is>
          <t>Artifact</t>
        </is>
      </c>
      <c r="E42" s="21" t="n">
        <v>4</v>
      </c>
      <c r="F42" s="21" t="inlineStr">
        <is>
          <t>C</t>
        </is>
      </c>
      <c r="G42" s="21" t="inlineStr">
        <is>
          <t>No</t>
        </is>
      </c>
      <c r="H42" s="23" t="n">
        <v>6</v>
      </c>
      <c r="I42" s="22" t="inlineStr">
        <is>
          <t>Needed</t>
        </is>
      </c>
      <c r="J42" s="24" t="inlineStr">
        <is>
          <t>Converts life gain into cards; the deck's best mana sink.</t>
        </is>
      </c>
    </row>
    <row r="43" ht="15" customHeight="1" s="18">
      <c r="A43" s="21" t="n">
        <v>1</v>
      </c>
      <c r="B43" s="22" t="inlineStr">
        <is>
          <t>Lifegain Payoffs</t>
        </is>
      </c>
      <c r="C43" s="22" t="inlineStr">
        <is>
          <t>Aetherflux Reservoir</t>
        </is>
      </c>
      <c r="D43" s="22" t="inlineStr">
        <is>
          <t>Artifact</t>
        </is>
      </c>
      <c r="E43" s="21" t="n">
        <v>4</v>
      </c>
      <c r="F43" s="21" t="inlineStr">
        <is>
          <t>C</t>
        </is>
      </c>
      <c r="G43" s="21" t="inlineStr">
        <is>
          <t>Yes</t>
        </is>
      </c>
      <c r="H43" s="23" t="n">
        <v>6</v>
      </c>
      <c r="I43" s="22" t="inlineStr">
        <is>
          <t>Needed</t>
        </is>
      </c>
      <c r="J43" s="24" t="inlineStr">
        <is>
          <t>Stockpiles life from your spell chain, then fires 50 at a player.</t>
        </is>
      </c>
    </row>
    <row r="44" ht="15" customHeight="1" s="18">
      <c r="A44" s="21" t="n">
        <v>1</v>
      </c>
      <c r="B44" s="22" t="inlineStr">
        <is>
          <t>Card Advantage</t>
        </is>
      </c>
      <c r="C44" s="22" t="inlineStr">
        <is>
          <t>Phyrexian Reclamation</t>
        </is>
      </c>
      <c r="D44" s="22" t="inlineStr">
        <is>
          <t>Enchantment</t>
        </is>
      </c>
      <c r="E44" s="21" t="n">
        <v>1</v>
      </c>
      <c r="F44" s="21" t="inlineStr">
        <is>
          <t>B</t>
        </is>
      </c>
      <c r="G44" s="21" t="inlineStr">
        <is>
          <t>No</t>
        </is>
      </c>
      <c r="H44" s="23" t="n">
        <v>2</v>
      </c>
      <c r="I44" s="22" t="inlineStr">
        <is>
          <t>Needed</t>
        </is>
      </c>
      <c r="J44" s="24" t="inlineStr">
        <is>
          <t>Rebuys Karlov or any soul sister from the graveyard for two mana.</t>
        </is>
      </c>
    </row>
    <row r="45" ht="15" customHeight="1" s="18">
      <c r="A45" s="21" t="n">
        <v>1</v>
      </c>
      <c r="B45" s="22" t="inlineStr">
        <is>
          <t>Lifegain Engines</t>
        </is>
      </c>
      <c r="C45" s="22" t="inlineStr">
        <is>
          <t>Authority of the Consuls</t>
        </is>
      </c>
      <c r="D45" s="22" t="inlineStr">
        <is>
          <t>Enchantment</t>
        </is>
      </c>
      <c r="E45" s="21" t="n">
        <v>1</v>
      </c>
      <c r="F45" s="21" t="inlineStr">
        <is>
          <t>W</t>
        </is>
      </c>
      <c r="G45" s="21" t="inlineStr">
        <is>
          <t>No</t>
        </is>
      </c>
      <c r="H45" s="23" t="n">
        <v>4</v>
      </c>
      <c r="I45" s="22" t="inlineStr">
        <is>
          <t>Needed</t>
        </is>
      </c>
      <c r="J45" s="24" t="inlineStr">
        <is>
          <t>Opposing creatures enter tapped and hand you a life-gain trigger.</t>
        </is>
      </c>
    </row>
    <row r="46" ht="15" customHeight="1" s="18">
      <c r="A46" s="21" t="n">
        <v>1</v>
      </c>
      <c r="B46" s="22" t="inlineStr">
        <is>
          <t>Card Advantage</t>
        </is>
      </c>
      <c r="C46" s="22" t="inlineStr">
        <is>
          <t>Dawn of Hope</t>
        </is>
      </c>
      <c r="D46" s="22" t="inlineStr">
        <is>
          <t>Enchantment</t>
        </is>
      </c>
      <c r="E46" s="21" t="n">
        <v>2</v>
      </c>
      <c r="F46" s="21" t="inlineStr">
        <is>
          <t>W</t>
        </is>
      </c>
      <c r="G46" s="21" t="inlineStr">
        <is>
          <t>No</t>
        </is>
      </c>
      <c r="H46" s="23" t="n">
        <v>1</v>
      </c>
      <c r="I46" s="22" t="inlineStr">
        <is>
          <t>Needed</t>
        </is>
      </c>
      <c r="J46" s="24" t="inlineStr">
        <is>
          <t>Draws on life gain and makes 1/1 lifelink Soldiers as a mana sink.</t>
        </is>
      </c>
    </row>
    <row r="47" ht="15" customHeight="1" s="18">
      <c r="A47" s="21" t="n">
        <v>1</v>
      </c>
      <c r="B47" s="22" t="inlineStr">
        <is>
          <t>Ramp &amp; Fixing</t>
        </is>
      </c>
      <c r="C47" s="22" t="inlineStr">
        <is>
          <t>Land Tax</t>
        </is>
      </c>
      <c r="D47" s="22" t="inlineStr">
        <is>
          <t>Enchantment</t>
        </is>
      </c>
      <c r="E47" s="21" t="n">
        <v>1</v>
      </c>
      <c r="F47" s="21" t="inlineStr">
        <is>
          <t>W</t>
        </is>
      </c>
      <c r="G47" s="21" t="inlineStr">
        <is>
          <t>No</t>
        </is>
      </c>
      <c r="H47" s="23" t="n">
        <v>10</v>
      </c>
      <c r="I47" s="22" t="inlineStr">
        <is>
          <t>Needed</t>
        </is>
      </c>
      <c r="J47" s="24" t="inlineStr">
        <is>
          <t>Free lands every upkeep while behind; fuels the top of your deck.</t>
        </is>
      </c>
    </row>
    <row r="48" ht="15" customHeight="1" s="18">
      <c r="A48" s="21" t="n">
        <v>1</v>
      </c>
      <c r="B48" s="22" t="inlineStr">
        <is>
          <t>Lifegain Engines</t>
        </is>
      </c>
      <c r="C48" s="22" t="inlineStr">
        <is>
          <t>Ajani's Mantra</t>
        </is>
      </c>
      <c r="D48" s="22" t="inlineStr">
        <is>
          <t>Enchantment</t>
        </is>
      </c>
      <c r="E48" s="21" t="n">
        <v>2</v>
      </c>
      <c r="F48" s="21" t="inlineStr">
        <is>
          <t>W</t>
        </is>
      </c>
      <c r="G48" s="21" t="inlineStr">
        <is>
          <t>No</t>
        </is>
      </c>
      <c r="H48" s="23" t="n">
        <v>0.25</v>
      </c>
      <c r="I48" s="22" t="inlineStr">
        <is>
          <t>Needed</t>
        </is>
      </c>
      <c r="J48" s="24" t="inlineStr">
        <is>
          <t>One life in every upkeep: the cheapest guaranteed recurring trigger.</t>
        </is>
      </c>
    </row>
    <row r="49" ht="15" customHeight="1" s="18">
      <c r="A49" s="21" t="n">
        <v>1</v>
      </c>
      <c r="B49" s="22" t="inlineStr">
        <is>
          <t>Lifegain Engines</t>
        </is>
      </c>
      <c r="C49" s="22" t="inlineStr">
        <is>
          <t>Blind Obedience</t>
        </is>
      </c>
      <c r="D49" s="22" t="inlineStr">
        <is>
          <t>Enchantment</t>
        </is>
      </c>
      <c r="E49" s="21" t="n">
        <v>2</v>
      </c>
      <c r="F49" s="21" t="inlineStr">
        <is>
          <t>W</t>
        </is>
      </c>
      <c r="G49" s="21" t="inlineStr">
        <is>
          <t>No</t>
        </is>
      </c>
      <c r="H49" s="23" t="n">
        <v>2</v>
      </c>
      <c r="I49" s="22" t="inlineStr">
        <is>
          <t>Needed</t>
        </is>
      </c>
      <c r="J49" s="24" t="inlineStr">
        <is>
          <t>Slows down opposing permanents and extorts for extra drain triggers.</t>
        </is>
      </c>
    </row>
    <row r="50" ht="15" customHeight="1" s="18">
      <c r="A50" s="21" t="n">
        <v>1</v>
      </c>
      <c r="B50" s="22" t="inlineStr">
        <is>
          <t>Card Advantage</t>
        </is>
      </c>
      <c r="C50" s="22" t="inlineStr">
        <is>
          <t>Necropotence</t>
        </is>
      </c>
      <c r="D50" s="22" t="inlineStr">
        <is>
          <t>Enchantment</t>
        </is>
      </c>
      <c r="E50" s="21" t="n">
        <v>3</v>
      </c>
      <c r="F50" s="21" t="inlineStr">
        <is>
          <t>B</t>
        </is>
      </c>
      <c r="G50" s="21" t="inlineStr">
        <is>
          <t>No</t>
        </is>
      </c>
      <c r="H50" s="23" t="n">
        <v>15</v>
      </c>
      <c r="I50" s="22" t="inlineStr">
        <is>
          <t>Needed</t>
        </is>
      </c>
      <c r="J50" s="24" t="inlineStr">
        <is>
          <t>Trades your inflated life total straight back into cards.</t>
        </is>
      </c>
    </row>
    <row r="51" ht="15" customHeight="1" s="18">
      <c r="A51" s="21" t="n">
        <v>1</v>
      </c>
      <c r="B51" s="22" t="inlineStr">
        <is>
          <t>Card Advantage</t>
        </is>
      </c>
      <c r="C51" s="22" t="inlineStr">
        <is>
          <t>Phyrexian Arena</t>
        </is>
      </c>
      <c r="D51" s="22" t="inlineStr">
        <is>
          <t>Enchantment</t>
        </is>
      </c>
      <c r="E51" s="21" t="n">
        <v>3</v>
      </c>
      <c r="F51" s="21" t="inlineStr">
        <is>
          <t>B</t>
        </is>
      </c>
      <c r="G51" s="21" t="inlineStr">
        <is>
          <t>No</t>
        </is>
      </c>
      <c r="H51" s="23" t="n">
        <v>5</v>
      </c>
      <c r="I51" s="22" t="inlineStr">
        <is>
          <t>Needed</t>
        </is>
      </c>
      <c r="J51" s="24" t="inlineStr">
        <is>
          <t>An extra card each turn; the life loss is irrelevant here.</t>
        </is>
      </c>
    </row>
    <row r="52" ht="15" customHeight="1" s="18">
      <c r="A52" s="21" t="n">
        <v>1</v>
      </c>
      <c r="B52" s="22" t="inlineStr">
        <is>
          <t>Lifegain Payoffs</t>
        </is>
      </c>
      <c r="C52" s="22" t="inlineStr">
        <is>
          <t>Exquisite Blood</t>
        </is>
      </c>
      <c r="D52" s="22" t="inlineStr">
        <is>
          <t>Enchantment</t>
        </is>
      </c>
      <c r="E52" s="21" t="n">
        <v>5</v>
      </c>
      <c r="F52" s="21" t="inlineStr">
        <is>
          <t>B</t>
        </is>
      </c>
      <c r="G52" s="21" t="inlineStr">
        <is>
          <t>Yes</t>
        </is>
      </c>
      <c r="H52" s="23" t="n">
        <v>15</v>
      </c>
      <c r="I52" s="22" t="inlineStr">
        <is>
          <t>Needed</t>
        </is>
      </c>
      <c r="J52" s="24" t="inlineStr">
        <is>
          <t>Combo half: infinite with Sanguine Bond, Vito or Vizkopa Guildmage.</t>
        </is>
      </c>
    </row>
    <row r="53" ht="15" customHeight="1" s="18">
      <c r="A53" s="21" t="n">
        <v>1</v>
      </c>
      <c r="B53" s="22" t="inlineStr">
        <is>
          <t>Lifegain Payoffs</t>
        </is>
      </c>
      <c r="C53" s="22" t="inlineStr">
        <is>
          <t>Sanguine Bond</t>
        </is>
      </c>
      <c r="D53" s="22" t="inlineStr">
        <is>
          <t>Enchantment</t>
        </is>
      </c>
      <c r="E53" s="21" t="n">
        <v>5</v>
      </c>
      <c r="F53" s="21" t="inlineStr">
        <is>
          <t>B</t>
        </is>
      </c>
      <c r="G53" s="21" t="inlineStr">
        <is>
          <t>Yes</t>
        </is>
      </c>
      <c r="H53" s="23" t="n">
        <v>5</v>
      </c>
      <c r="I53" s="22" t="inlineStr">
        <is>
          <t>Needed</t>
        </is>
      </c>
      <c r="J53" s="24" t="inlineStr">
        <is>
          <t>Combo half: life gain becomes loss, looping with Exquisite Blood.</t>
        </is>
      </c>
    </row>
    <row r="54" ht="15" customHeight="1" s="18">
      <c r="A54" s="21" t="n">
        <v>1</v>
      </c>
      <c r="B54" s="22" t="inlineStr">
        <is>
          <t>Removal &amp; Wraths</t>
        </is>
      </c>
      <c r="C54" s="22" t="inlineStr">
        <is>
          <t>Swords to Plowshares</t>
        </is>
      </c>
      <c r="D54" s="22" t="inlineStr">
        <is>
          <t>Instant</t>
        </is>
      </c>
      <c r="E54" s="21" t="n">
        <v>1</v>
      </c>
      <c r="F54" s="21" t="inlineStr">
        <is>
          <t>W</t>
        </is>
      </c>
      <c r="G54" s="21" t="inlineStr">
        <is>
          <t>No</t>
        </is>
      </c>
      <c r="H54" s="23" t="n">
        <v>3</v>
      </c>
      <c r="I54" s="22" t="inlineStr">
        <is>
          <t>Needed</t>
        </is>
      </c>
      <c r="J54" s="24" t="inlineStr">
        <is>
          <t>Premier one-mana removal; the life they gain is a fair price.</t>
        </is>
      </c>
    </row>
    <row r="55" ht="15" customHeight="1" s="18">
      <c r="A55" s="21" t="n">
        <v>1</v>
      </c>
      <c r="B55" s="22" t="inlineStr">
        <is>
          <t>Removal &amp; Wraths</t>
        </is>
      </c>
      <c r="C55" s="22" t="inlineStr">
        <is>
          <t>Path to Exile</t>
        </is>
      </c>
      <c r="D55" s="22" t="inlineStr">
        <is>
          <t>Instant</t>
        </is>
      </c>
      <c r="E55" s="21" t="n">
        <v>1</v>
      </c>
      <c r="F55" s="21" t="inlineStr">
        <is>
          <t>W</t>
        </is>
      </c>
      <c r="G55" s="21" t="inlineStr">
        <is>
          <t>No</t>
        </is>
      </c>
      <c r="H55" s="23" t="n">
        <v>5</v>
      </c>
      <c r="I55" s="22" t="inlineStr">
        <is>
          <t>Needed</t>
        </is>
      </c>
      <c r="J55" s="24" t="inlineStr">
        <is>
          <t>Instant-speed exile for one mana.</t>
        </is>
      </c>
    </row>
    <row r="56" ht="15" customHeight="1" s="18">
      <c r="A56" s="21" t="n">
        <v>1</v>
      </c>
      <c r="B56" s="22" t="inlineStr">
        <is>
          <t>Card Advantage</t>
        </is>
      </c>
      <c r="C56" s="22" t="inlineStr">
        <is>
          <t>Enlightened Tutor</t>
        </is>
      </c>
      <c r="D56" s="22" t="inlineStr">
        <is>
          <t>Instant</t>
        </is>
      </c>
      <c r="E56" s="21" t="n">
        <v>1</v>
      </c>
      <c r="F56" s="21" t="inlineStr">
        <is>
          <t>W</t>
        </is>
      </c>
      <c r="G56" s="21" t="inlineStr">
        <is>
          <t>No</t>
        </is>
      </c>
      <c r="H56" s="23" t="n">
        <v>15</v>
      </c>
      <c r="I56" s="22" t="inlineStr">
        <is>
          <t>Needed</t>
        </is>
      </c>
      <c r="J56" s="24" t="inlineStr">
        <is>
          <t>Finds Exquisite Blood, Sanguine Bond or Aetherflux Reservoir.</t>
        </is>
      </c>
    </row>
    <row r="57" ht="15" customHeight="1" s="18">
      <c r="A57" s="21" t="n">
        <v>1</v>
      </c>
      <c r="B57" s="22" t="inlineStr">
        <is>
          <t>Removal &amp; Wraths</t>
        </is>
      </c>
      <c r="C57" s="22" t="inlineStr">
        <is>
          <t>Anguished Unmaking</t>
        </is>
      </c>
      <c r="D57" s="22" t="inlineStr">
        <is>
          <t>Instant</t>
        </is>
      </c>
      <c r="E57" s="21" t="n">
        <v>3</v>
      </c>
      <c r="F57" s="21" t="inlineStr">
        <is>
          <t>W/B</t>
        </is>
      </c>
      <c r="G57" s="21" t="inlineStr">
        <is>
          <t>No</t>
        </is>
      </c>
      <c r="H57" s="23" t="n">
        <v>3</v>
      </c>
      <c r="I57" s="22" t="inlineStr">
        <is>
          <t>Needed</t>
        </is>
      </c>
      <c r="J57" s="24" t="inlineStr">
        <is>
          <t>Exiles any nonland permanent at instant speed.</t>
        </is>
      </c>
    </row>
    <row r="58" ht="15" customHeight="1" s="18">
      <c r="A58" s="21" t="n">
        <v>1</v>
      </c>
      <c r="B58" s="22" t="inlineStr">
        <is>
          <t>Lifegain Engines</t>
        </is>
      </c>
      <c r="C58" s="22" t="inlineStr">
        <is>
          <t>Benevolent Offering</t>
        </is>
      </c>
      <c r="D58" s="22" t="inlineStr">
        <is>
          <t>Instant</t>
        </is>
      </c>
      <c r="E58" s="21" t="n">
        <v>4</v>
      </c>
      <c r="F58" s="21" t="inlineStr">
        <is>
          <t>W</t>
        </is>
      </c>
      <c r="G58" s="21" t="inlineStr">
        <is>
          <t>No</t>
        </is>
      </c>
      <c r="H58" s="23" t="n">
        <v>0.5</v>
      </c>
      <c r="I58" s="22" t="inlineStr">
        <is>
          <t>Needed</t>
        </is>
      </c>
      <c r="J58" s="24" t="inlineStr">
        <is>
          <t>Makes Spirits and gains a chunk of life at instant speed.</t>
        </is>
      </c>
    </row>
    <row r="59" ht="15" customHeight="1" s="18">
      <c r="A59" s="21" t="n">
        <v>1</v>
      </c>
      <c r="B59" s="22" t="inlineStr">
        <is>
          <t>Removal &amp; Wraths</t>
        </is>
      </c>
      <c r="C59" s="22" t="inlineStr">
        <is>
          <t>Fracture</t>
        </is>
      </c>
      <c r="D59" s="22" t="inlineStr">
        <is>
          <t>Instant</t>
        </is>
      </c>
      <c r="E59" s="21" t="n">
        <v>2</v>
      </c>
      <c r="F59" s="21" t="inlineStr">
        <is>
          <t>W/B</t>
        </is>
      </c>
      <c r="G59" s="21" t="inlineStr">
        <is>
          <t>No</t>
        </is>
      </c>
      <c r="H59" s="23" t="n">
        <v>0.5</v>
      </c>
      <c r="I59" s="22" t="inlineStr">
        <is>
          <t>Needed</t>
        </is>
      </c>
      <c r="J59" s="24" t="inlineStr">
        <is>
          <t>Answers an artifact, enchantment or planeswalker.</t>
        </is>
      </c>
    </row>
    <row r="60" ht="15" customHeight="1" s="18">
      <c r="A60" s="21" t="n">
        <v>1</v>
      </c>
      <c r="B60" s="22" t="inlineStr">
        <is>
          <t>Removal &amp; Wraths</t>
        </is>
      </c>
      <c r="C60" s="22" t="inlineStr">
        <is>
          <t>Return to Dust</t>
        </is>
      </c>
      <c r="D60" s="22" t="inlineStr">
        <is>
          <t>Instant</t>
        </is>
      </c>
      <c r="E60" s="21" t="n">
        <v>4</v>
      </c>
      <c r="F60" s="21" t="inlineStr">
        <is>
          <t>W</t>
        </is>
      </c>
      <c r="G60" s="21" t="inlineStr">
        <is>
          <t>No</t>
        </is>
      </c>
      <c r="H60" s="23" t="n">
        <v>1</v>
      </c>
      <c r="I60" s="22" t="inlineStr">
        <is>
          <t>Needed</t>
        </is>
      </c>
      <c r="J60" s="24" t="inlineStr">
        <is>
          <t>Two-for-one artifact and enchantment removal at sorcery speed.</t>
        </is>
      </c>
    </row>
    <row r="61" ht="15" customHeight="1" s="18">
      <c r="A61" s="21" t="n">
        <v>1</v>
      </c>
      <c r="B61" s="22" t="inlineStr">
        <is>
          <t>Removal &amp; Wraths</t>
        </is>
      </c>
      <c r="C61" s="22" t="inlineStr">
        <is>
          <t>Damn</t>
        </is>
      </c>
      <c r="D61" s="22" t="inlineStr">
        <is>
          <t>Sorcery</t>
        </is>
      </c>
      <c r="E61" s="21" t="n">
        <v>2</v>
      </c>
      <c r="F61" s="21" t="inlineStr">
        <is>
          <t>B</t>
        </is>
      </c>
      <c r="G61" s="21" t="inlineStr">
        <is>
          <t>No</t>
        </is>
      </c>
      <c r="H61" s="23" t="n">
        <v>8</v>
      </c>
      <c r="I61" s="22" t="inlineStr">
        <is>
          <t>Needed</t>
        </is>
      </c>
      <c r="J61" s="24" t="inlineStr">
        <is>
          <t>Single-target destroy, or overload for a full wrath.</t>
        </is>
      </c>
    </row>
    <row r="62" ht="15" customHeight="1" s="18">
      <c r="A62" s="21" t="n">
        <v>1</v>
      </c>
      <c r="B62" s="22" t="inlineStr">
        <is>
          <t>Removal &amp; Wraths</t>
        </is>
      </c>
      <c r="C62" s="22" t="inlineStr">
        <is>
          <t>Toxic Deluge</t>
        </is>
      </c>
      <c r="D62" s="22" t="inlineStr">
        <is>
          <t>Sorcery</t>
        </is>
      </c>
      <c r="E62" s="21" t="n">
        <v>3</v>
      </c>
      <c r="F62" s="21" t="inlineStr">
        <is>
          <t>B</t>
        </is>
      </c>
      <c r="G62" s="21" t="inlineStr">
        <is>
          <t>No</t>
        </is>
      </c>
      <c r="H62" s="23" t="n">
        <v>20</v>
      </c>
      <c r="I62" s="22" t="inlineStr">
        <is>
          <t>Needed</t>
        </is>
      </c>
      <c r="J62" s="24" t="inlineStr">
        <is>
          <t>Scalable wrath; your high life total pays the cost comfortably.</t>
        </is>
      </c>
    </row>
    <row r="63" ht="15" customHeight="1" s="18">
      <c r="A63" s="21" t="n">
        <v>1</v>
      </c>
      <c r="B63" s="22" t="inlineStr">
        <is>
          <t>Lifegain Payoffs</t>
        </is>
      </c>
      <c r="C63" s="22" t="inlineStr">
        <is>
          <t>Debt to the Deathless</t>
        </is>
      </c>
      <c r="D63" s="22" t="inlineStr">
        <is>
          <t>Sorcery</t>
        </is>
      </c>
      <c r="E63" s="21" t="n">
        <v>4</v>
      </c>
      <c r="F63" s="21" t="inlineStr">
        <is>
          <t>W/B</t>
        </is>
      </c>
      <c r="G63" s="21" t="inlineStr">
        <is>
          <t>No</t>
        </is>
      </c>
      <c r="H63" s="23" t="n">
        <v>2</v>
      </c>
      <c r="I63" s="22" t="inlineStr">
        <is>
          <t>Needed</t>
        </is>
      </c>
      <c r="J63" s="24" t="inlineStr">
        <is>
          <t>X-spell finisher that drains the table and refills your life total.</t>
        </is>
      </c>
    </row>
    <row r="64" ht="15" customHeight="1" s="18">
      <c r="A64" s="17" t="n">
        <v>1</v>
      </c>
      <c r="B64" s="17" t="inlineStr">
        <is>
          <t>Lifegain Payoffs</t>
        </is>
      </c>
      <c r="C64" s="17" t="inlineStr">
        <is>
          <t>Exemplar of Light</t>
        </is>
      </c>
      <c r="D64" s="17" t="inlineStr">
        <is>
          <t>Creature</t>
        </is>
      </c>
      <c r="E64" s="17" t="n">
        <v>4</v>
      </c>
      <c r="F64" s="17" t="inlineStr">
        <is>
          <t>W</t>
        </is>
      </c>
      <c r="G64" s="17" t="inlineStr">
        <is>
          <t>Yes</t>
        </is>
      </c>
      <c r="H64" s="17" t="n">
        <v>2</v>
      </c>
      <c r="I64" s="17" t="inlineStr">
        <is>
          <t>Needed</t>
        </is>
      </c>
      <c r="J64" s="17" t="inlineStr">
        <is>
          <t>A +1/+1 counter per lifegain event and a card the first time each turn it gets one. 3/3 flier.</t>
        </is>
      </c>
    </row>
    <row r="65" ht="15" customHeight="1" s="18">
      <c r="A65" s="21" t="n">
        <v>1</v>
      </c>
      <c r="B65" s="22" t="inlineStr">
        <is>
          <t>Removal &amp; Wraths</t>
        </is>
      </c>
      <c r="C65" s="22" t="inlineStr">
        <is>
          <t>Austere Command</t>
        </is>
      </c>
      <c r="D65" s="22" t="inlineStr">
        <is>
          <t>Sorcery</t>
        </is>
      </c>
      <c r="E65" s="21" t="n">
        <v>6</v>
      </c>
      <c r="F65" s="21" t="inlineStr">
        <is>
          <t>W</t>
        </is>
      </c>
      <c r="G65" s="21" t="inlineStr">
        <is>
          <t>No</t>
        </is>
      </c>
      <c r="H65" s="23" t="n">
        <v>5</v>
      </c>
      <c r="I65" s="22" t="inlineStr">
        <is>
          <t>Needed</t>
        </is>
      </c>
      <c r="J65" s="24" t="inlineStr">
        <is>
          <t>Modal wrath; pick the two halves that spare your board.</t>
        </is>
      </c>
    </row>
    <row r="66" ht="15" customHeight="1" s="18">
      <c r="A66" s="21" t="n">
        <v>1</v>
      </c>
      <c r="B66" s="22" t="inlineStr">
        <is>
          <t>Removal &amp; Wraths</t>
        </is>
      </c>
      <c r="C66" s="22" t="inlineStr">
        <is>
          <t>Farewell</t>
        </is>
      </c>
      <c r="D66" s="22" t="inlineStr">
        <is>
          <t>Sorcery</t>
        </is>
      </c>
      <c r="E66" s="21" t="n">
        <v>6</v>
      </c>
      <c r="F66" s="21" t="inlineStr">
        <is>
          <t>W</t>
        </is>
      </c>
      <c r="G66" s="21" t="inlineStr">
        <is>
          <t>No</t>
        </is>
      </c>
      <c r="H66" s="23" t="n">
        <v>8</v>
      </c>
      <c r="I66" s="22" t="inlineStr">
        <is>
          <t>Needed</t>
        </is>
      </c>
      <c r="J66" s="24" t="inlineStr">
        <is>
          <t>Exile-based reset that answers graveyards as well.</t>
        </is>
      </c>
    </row>
    <row r="67" ht="15" customHeight="1" s="18">
      <c r="A67" s="21" t="n">
        <v>1</v>
      </c>
      <c r="B67" s="22" t="inlineStr">
        <is>
          <t>Removal &amp; Wraths</t>
        </is>
      </c>
      <c r="C67" s="22" t="inlineStr">
        <is>
          <t>Damnation</t>
        </is>
      </c>
      <c r="D67" s="22" t="inlineStr">
        <is>
          <t>Sorcery</t>
        </is>
      </c>
      <c r="E67" s="21" t="n">
        <v>4</v>
      </c>
      <c r="F67" s="21" t="inlineStr">
        <is>
          <t>B</t>
        </is>
      </c>
      <c r="G67" s="21" t="inlineStr">
        <is>
          <t>No</t>
        </is>
      </c>
      <c r="H67" s="23" t="n">
        <v>10</v>
      </c>
      <c r="I67" s="22" t="inlineStr">
        <is>
          <t>Needed</t>
        </is>
      </c>
      <c r="J67" s="24" t="inlineStr">
        <is>
          <t>Unconditional black wrath with no regeneration.</t>
        </is>
      </c>
    </row>
    <row r="68" ht="15" customHeight="1" s="18">
      <c r="A68" s="21" t="n">
        <v>1</v>
      </c>
      <c r="B68" s="22" t="inlineStr">
        <is>
          <t>Lands</t>
        </is>
      </c>
      <c r="C68" s="22" t="inlineStr">
        <is>
          <t>Barren Moor</t>
        </is>
      </c>
      <c r="D68" s="22" t="inlineStr">
        <is>
          <t>Land</t>
        </is>
      </c>
      <c r="E68" s="21" t="n">
        <v>0</v>
      </c>
      <c r="F68" s="21" t="inlineStr">
        <is>
          <t>B</t>
        </is>
      </c>
      <c r="G68" s="21" t="inlineStr">
        <is>
          <t>No</t>
        </is>
      </c>
      <c r="H68" s="23" t="n">
        <v>0.5</v>
      </c>
      <c r="I68" s="22" t="inlineStr">
        <is>
          <t>Needed</t>
        </is>
      </c>
      <c r="J68" s="24" t="inlineStr">
        <is>
          <t>Cycling land; taps for black.</t>
        </is>
      </c>
    </row>
    <row r="69" ht="15" customHeight="1" s="18">
      <c r="A69" s="21" t="n">
        <v>1</v>
      </c>
      <c r="B69" s="22" t="inlineStr">
        <is>
          <t>Lands</t>
        </is>
      </c>
      <c r="C69" s="22" t="inlineStr">
        <is>
          <t>Radiant Fountain</t>
        </is>
      </c>
      <c r="D69" s="22" t="inlineStr">
        <is>
          <t>Land</t>
        </is>
      </c>
      <c r="E69" s="21" t="n">
        <v>0</v>
      </c>
      <c r="F69" s="21" t="inlineStr">
        <is>
          <t>C</t>
        </is>
      </c>
      <c r="G69" s="21" t="inlineStr">
        <is>
          <t>No</t>
        </is>
      </c>
      <c r="H69" s="23" t="n">
        <v>0.25</v>
      </c>
      <c r="I69" s="22" t="inlineStr">
        <is>
          <t>Needed</t>
        </is>
      </c>
      <c r="J69" s="24" t="inlineStr">
        <is>
          <t>Gains two life on entry: a free Karlov trigger from a land drop.</t>
        </is>
      </c>
    </row>
    <row r="70" ht="15" customHeight="1" s="18">
      <c r="A70" s="21" t="n">
        <v>1</v>
      </c>
      <c r="B70" s="22" t="inlineStr">
        <is>
          <t>Lands</t>
        </is>
      </c>
      <c r="C70" s="22" t="inlineStr">
        <is>
          <t>Tainted Field</t>
        </is>
      </c>
      <c r="D70" s="22" t="inlineStr">
        <is>
          <t>Land</t>
        </is>
      </c>
      <c r="E70" s="21" t="n">
        <v>0</v>
      </c>
      <c r="F70" s="21" t="inlineStr">
        <is>
          <t>W</t>
        </is>
      </c>
      <c r="G70" s="21" t="inlineStr">
        <is>
          <t>No</t>
        </is>
      </c>
      <c r="H70" s="23" t="n">
        <v>2</v>
      </c>
      <c r="I70" s="22" t="inlineStr">
        <is>
          <t>Needed</t>
        </is>
      </c>
      <c r="J70" s="24" t="inlineStr">
        <is>
          <t>Taps for white with a Swamp in play.</t>
        </is>
      </c>
    </row>
    <row r="71" ht="15" customHeight="1" s="18">
      <c r="A71" s="21" t="n">
        <v>1</v>
      </c>
      <c r="B71" s="22" t="inlineStr">
        <is>
          <t>Lands</t>
        </is>
      </c>
      <c r="C71" s="22" t="inlineStr">
        <is>
          <t>Secluded Steppe</t>
        </is>
      </c>
      <c r="D71" s="22" t="inlineStr">
        <is>
          <t>Land</t>
        </is>
      </c>
      <c r="E71" s="21" t="n">
        <v>0</v>
      </c>
      <c r="F71" s="21" t="inlineStr">
        <is>
          <t>W</t>
        </is>
      </c>
      <c r="G71" s="21" t="inlineStr">
        <is>
          <t>No</t>
        </is>
      </c>
      <c r="H71" s="23" t="n">
        <v>0.5</v>
      </c>
      <c r="I71" s="22" t="inlineStr">
        <is>
          <t>Needed</t>
        </is>
      </c>
      <c r="J71" s="24" t="inlineStr">
        <is>
          <t>Cycling land; taps for white.</t>
        </is>
      </c>
    </row>
    <row r="72" ht="15" customHeight="1" s="18">
      <c r="A72" s="21" t="n">
        <v>1</v>
      </c>
      <c r="B72" s="22" t="inlineStr">
        <is>
          <t>Lands</t>
        </is>
      </c>
      <c r="C72" s="22" t="inlineStr">
        <is>
          <t>Opal Palace</t>
        </is>
      </c>
      <c r="D72" s="22" t="inlineStr">
        <is>
          <t>Land</t>
        </is>
      </c>
      <c r="E72" s="21" t="n">
        <v>0</v>
      </c>
      <c r="F72" s="21" t="inlineStr">
        <is>
          <t>C</t>
        </is>
      </c>
      <c r="G72" s="21" t="inlineStr">
        <is>
          <t>No</t>
        </is>
      </c>
      <c r="H72" s="23" t="n">
        <v>1</v>
      </c>
      <c r="I72" s="22" t="inlineStr">
        <is>
          <t>Needed</t>
        </is>
      </c>
      <c r="J72" s="24" t="inlineStr">
        <is>
          <t>Puts counters on Karlov when cast from the command zone.</t>
        </is>
      </c>
    </row>
    <row r="73" ht="15" customHeight="1" s="18">
      <c r="A73" s="21" t="n">
        <v>1</v>
      </c>
      <c r="B73" s="22" t="inlineStr">
        <is>
          <t>Lands</t>
        </is>
      </c>
      <c r="C73" s="22" t="inlineStr">
        <is>
          <t>Cavern of Souls</t>
        </is>
      </c>
      <c r="D73" s="22" t="inlineStr">
        <is>
          <t>Land</t>
        </is>
      </c>
      <c r="E73" s="21" t="n">
        <v>0</v>
      </c>
      <c r="F73" s="21" t="inlineStr">
        <is>
          <t>C</t>
        </is>
      </c>
      <c r="G73" s="21" t="inlineStr">
        <is>
          <t>No</t>
        </is>
      </c>
      <c r="H73" s="23" t="n">
        <v>40</v>
      </c>
      <c r="I73" s="22" t="inlineStr">
        <is>
          <t>Needed</t>
        </is>
      </c>
      <c r="J73" s="24" t="inlineStr">
        <is>
          <t>Names Advisor to make Karlov uncounterable.</t>
        </is>
      </c>
    </row>
    <row r="74" ht="15" customHeight="1" s="18">
      <c r="A74" s="21" t="n">
        <v>1</v>
      </c>
      <c r="B74" s="22" t="inlineStr">
        <is>
          <t>Lands</t>
        </is>
      </c>
      <c r="C74" s="22" t="inlineStr">
        <is>
          <t>Rogue's Passage</t>
        </is>
      </c>
      <c r="D74" s="22" t="inlineStr">
        <is>
          <t>Land</t>
        </is>
      </c>
      <c r="E74" s="21" t="n">
        <v>0</v>
      </c>
      <c r="F74" s="21" t="inlineStr">
        <is>
          <t>C</t>
        </is>
      </c>
      <c r="G74" s="21" t="inlineStr">
        <is>
          <t>No</t>
        </is>
      </c>
      <c r="H74" s="23" t="n">
        <v>1</v>
      </c>
      <c r="I74" s="22" t="inlineStr">
        <is>
          <t>Needed</t>
        </is>
      </c>
      <c r="J74" s="24" t="inlineStr">
        <is>
          <t>Pushes a lethal Karlov through any blocker.</t>
        </is>
      </c>
    </row>
    <row r="75" ht="15" customHeight="1" s="18">
      <c r="A75" s="21" t="n">
        <v>1</v>
      </c>
      <c r="B75" s="22" t="inlineStr">
        <is>
          <t>Lands</t>
        </is>
      </c>
      <c r="C75" s="22" t="inlineStr">
        <is>
          <t>Temple of the False God</t>
        </is>
      </c>
      <c r="D75" s="22" t="inlineStr">
        <is>
          <t>Land</t>
        </is>
      </c>
      <c r="E75" s="21" t="n">
        <v>0</v>
      </c>
      <c r="F75" s="21" t="inlineStr">
        <is>
          <t>C</t>
        </is>
      </c>
      <c r="G75" s="21" t="inlineStr">
        <is>
          <t>No</t>
        </is>
      </c>
      <c r="H75" s="23" t="n">
        <v>0.5</v>
      </c>
      <c r="I75" s="22" t="inlineStr">
        <is>
          <t>Needed</t>
        </is>
      </c>
      <c r="J75" s="24" t="inlineStr">
        <is>
          <t>Ramp land once you hit five lands.</t>
        </is>
      </c>
    </row>
    <row r="76" ht="15" customHeight="1" s="18">
      <c r="A76" s="21" t="n">
        <v>1</v>
      </c>
      <c r="B76" s="22" t="inlineStr">
        <is>
          <t>Lands</t>
        </is>
      </c>
      <c r="C76" s="22" t="inlineStr">
        <is>
          <t>Caves of Koilos</t>
        </is>
      </c>
      <c r="D76" s="22" t="inlineStr">
        <is>
          <t>Land</t>
        </is>
      </c>
      <c r="E76" s="21" t="n">
        <v>0</v>
      </c>
      <c r="F76" s="21" t="inlineStr">
        <is>
          <t>W/B</t>
        </is>
      </c>
      <c r="G76" s="21" t="inlineStr">
        <is>
          <t>No</t>
        </is>
      </c>
      <c r="H76" s="23" t="n">
        <v>2</v>
      </c>
      <c r="I76" s="22" t="inlineStr">
        <is>
          <t>Needed</t>
        </is>
      </c>
      <c r="J76" s="24" t="inlineStr">
        <is>
          <t>Pain land for W/B.</t>
        </is>
      </c>
    </row>
    <row r="77" ht="15" customHeight="1" s="18">
      <c r="A77" s="21" t="n">
        <v>1</v>
      </c>
      <c r="B77" s="22" t="inlineStr">
        <is>
          <t>Lands</t>
        </is>
      </c>
      <c r="C77" s="22" t="inlineStr">
        <is>
          <t>Command Tower</t>
        </is>
      </c>
      <c r="D77" s="22" t="inlineStr">
        <is>
          <t>Land</t>
        </is>
      </c>
      <c r="E77" s="21" t="n">
        <v>0</v>
      </c>
      <c r="F77" s="21" t="inlineStr">
        <is>
          <t>C</t>
        </is>
      </c>
      <c r="G77" s="21" t="inlineStr">
        <is>
          <t>No</t>
        </is>
      </c>
      <c r="H77" s="23" t="n">
        <v>1</v>
      </c>
      <c r="I77" s="22" t="inlineStr">
        <is>
          <t>Needed</t>
        </is>
      </c>
      <c r="J77" s="24" t="inlineStr">
        <is>
          <t>Taps for both your colours.</t>
        </is>
      </c>
    </row>
    <row r="78" ht="15" customHeight="1" s="18">
      <c r="A78" s="21" t="n">
        <v>1</v>
      </c>
      <c r="B78" s="22" t="inlineStr">
        <is>
          <t>Lands</t>
        </is>
      </c>
      <c r="C78" s="22" t="inlineStr">
        <is>
          <t>Bojuka Bog</t>
        </is>
      </c>
      <c r="D78" s="22" t="inlineStr">
        <is>
          <t>Land</t>
        </is>
      </c>
      <c r="E78" s="21" t="n">
        <v>0</v>
      </c>
      <c r="F78" s="21" t="inlineStr">
        <is>
          <t>B</t>
        </is>
      </c>
      <c r="G78" s="21" t="inlineStr">
        <is>
          <t>No</t>
        </is>
      </c>
      <c r="H78" s="23" t="n">
        <v>1</v>
      </c>
      <c r="I78" s="22" t="inlineStr">
        <is>
          <t>Needed</t>
        </is>
      </c>
      <c r="J78" s="24" t="inlineStr">
        <is>
          <t>Graveyard hate on a tapland.</t>
        </is>
      </c>
    </row>
    <row r="79" ht="15" customHeight="1" s="18">
      <c r="A79" s="21" t="n">
        <v>1</v>
      </c>
      <c r="B79" s="22" t="inlineStr">
        <is>
          <t>Lands</t>
        </is>
      </c>
      <c r="C79" s="22" t="inlineStr">
        <is>
          <t>Reliquary Tower</t>
        </is>
      </c>
      <c r="D79" s="22" t="inlineStr">
        <is>
          <t>Land</t>
        </is>
      </c>
      <c r="E79" s="21" t="n">
        <v>0</v>
      </c>
      <c r="F79" s="21" t="inlineStr">
        <is>
          <t>C</t>
        </is>
      </c>
      <c r="G79" s="21" t="inlineStr">
        <is>
          <t>No</t>
        </is>
      </c>
      <c r="H79" s="23" t="n">
        <v>1</v>
      </c>
      <c r="I79" s="22" t="inlineStr">
        <is>
          <t>Needed</t>
        </is>
      </c>
      <c r="J79" s="24" t="inlineStr">
        <is>
          <t>No maximum hand size for Necropotence and Well of Lost Dreams.</t>
        </is>
      </c>
    </row>
    <row r="80" ht="15" customHeight="1" s="18">
      <c r="A80" s="21" t="n">
        <v>1</v>
      </c>
      <c r="B80" s="22" t="inlineStr">
        <is>
          <t>Lands</t>
        </is>
      </c>
      <c r="C80" s="22" t="inlineStr">
        <is>
          <t>Temple of Silence</t>
        </is>
      </c>
      <c r="D80" s="22" t="inlineStr">
        <is>
          <t>Land</t>
        </is>
      </c>
      <c r="E80" s="21" t="n">
        <v>0</v>
      </c>
      <c r="F80" s="21" t="inlineStr">
        <is>
          <t>W/B</t>
        </is>
      </c>
      <c r="G80" s="21" t="inlineStr">
        <is>
          <t>No</t>
        </is>
      </c>
      <c r="H80" s="23" t="n">
        <v>0.5</v>
      </c>
      <c r="I80" s="22" t="inlineStr">
        <is>
          <t>Needed</t>
        </is>
      </c>
      <c r="J80" s="24" t="inlineStr">
        <is>
          <t>Scry land; smooths the draw.</t>
        </is>
      </c>
    </row>
    <row r="81" ht="15" customHeight="1" s="18">
      <c r="A81" s="21" t="n">
        <v>1</v>
      </c>
      <c r="B81" s="22" t="inlineStr">
        <is>
          <t>Lands</t>
        </is>
      </c>
      <c r="C81" s="22" t="inlineStr">
        <is>
          <t>Vault of the Archangel</t>
        </is>
      </c>
      <c r="D81" s="22" t="inlineStr">
        <is>
          <t>Land</t>
        </is>
      </c>
      <c r="E81" s="21" t="n">
        <v>0</v>
      </c>
      <c r="F81" s="21" t="inlineStr">
        <is>
          <t>W/B</t>
        </is>
      </c>
      <c r="G81" s="21" t="inlineStr">
        <is>
          <t>No</t>
        </is>
      </c>
      <c r="H81" s="23" t="n">
        <v>4</v>
      </c>
      <c r="I81" s="22" t="inlineStr">
        <is>
          <t>Needed</t>
        </is>
      </c>
      <c r="J81" s="24" t="inlineStr">
        <is>
          <t>Team deathtouch and lifelink: a huge pile of Karlov triggers in one attack.</t>
        </is>
      </c>
    </row>
    <row r="82" ht="15" customHeight="1" s="18">
      <c r="A82" s="21" t="n">
        <v>1</v>
      </c>
      <c r="B82" s="22" t="inlineStr">
        <is>
          <t>Lands</t>
        </is>
      </c>
      <c r="C82" s="22" t="inlineStr">
        <is>
          <t>Concealed Courtyard</t>
        </is>
      </c>
      <c r="D82" s="22" t="inlineStr">
        <is>
          <t>Land</t>
        </is>
      </c>
      <c r="E82" s="21" t="n">
        <v>0</v>
      </c>
      <c r="F82" s="21" t="inlineStr">
        <is>
          <t>W/B</t>
        </is>
      </c>
      <c r="G82" s="21" t="inlineStr">
        <is>
          <t>No</t>
        </is>
      </c>
      <c r="H82" s="23" t="n">
        <v>8</v>
      </c>
      <c r="I82" s="22" t="inlineStr">
        <is>
          <t>Needed</t>
        </is>
      </c>
      <c r="J82" s="24" t="inlineStr">
        <is>
          <t>Fast land; untapped for the first turns.</t>
        </is>
      </c>
    </row>
    <row r="83" ht="15" customHeight="1" s="18">
      <c r="A83" s="21" t="n">
        <v>1</v>
      </c>
      <c r="B83" s="22" t="inlineStr">
        <is>
          <t>Lands</t>
        </is>
      </c>
      <c r="C83" s="22" t="inlineStr">
        <is>
          <t>Isolated Chapel</t>
        </is>
      </c>
      <c r="D83" s="22" t="inlineStr">
        <is>
          <t>Land</t>
        </is>
      </c>
      <c r="E83" s="21" t="n">
        <v>0</v>
      </c>
      <c r="F83" s="21" t="inlineStr">
        <is>
          <t>W/B</t>
        </is>
      </c>
      <c r="G83" s="21" t="inlineStr">
        <is>
          <t>No</t>
        </is>
      </c>
      <c r="H83" s="23" t="n">
        <v>5</v>
      </c>
      <c r="I83" s="22" t="inlineStr">
        <is>
          <t>Needed</t>
        </is>
      </c>
      <c r="J83" s="24" t="inlineStr">
        <is>
          <t>Check land; untapped with a basic out.</t>
        </is>
      </c>
    </row>
    <row r="84" ht="15" customHeight="1" s="18">
      <c r="A84" s="21" t="n">
        <v>1</v>
      </c>
      <c r="B84" s="22" t="inlineStr">
        <is>
          <t>Lands</t>
        </is>
      </c>
      <c r="C84" s="22" t="inlineStr">
        <is>
          <t>Fetid Heath</t>
        </is>
      </c>
      <c r="D84" s="22" t="inlineStr">
        <is>
          <t>Land</t>
        </is>
      </c>
      <c r="E84" s="21" t="n">
        <v>0</v>
      </c>
      <c r="F84" s="21" t="inlineStr">
        <is>
          <t>W/B</t>
        </is>
      </c>
      <c r="G84" s="21" t="inlineStr">
        <is>
          <t>No</t>
        </is>
      </c>
      <c r="H84" s="23" t="n">
        <v>12</v>
      </c>
      <c r="I84" s="22" t="inlineStr">
        <is>
          <t>Needed</t>
        </is>
      </c>
      <c r="J84" s="24" t="inlineStr">
        <is>
          <t>Filter land; great with the double pips on Necropotence and Damnation.</t>
        </is>
      </c>
    </row>
    <row r="85" ht="15" customHeight="1" s="18">
      <c r="A85" s="21" t="n">
        <v>1</v>
      </c>
      <c r="B85" s="22" t="inlineStr">
        <is>
          <t>Lands</t>
        </is>
      </c>
      <c r="C85" s="22" t="inlineStr">
        <is>
          <t>Shizo, Death's Storehouse</t>
        </is>
      </c>
      <c r="D85" s="22" t="inlineStr">
        <is>
          <t>Land</t>
        </is>
      </c>
      <c r="E85" s="21" t="n">
        <v>0</v>
      </c>
      <c r="F85" s="21" t="inlineStr">
        <is>
          <t>B</t>
        </is>
      </c>
      <c r="G85" s="21" t="inlineStr">
        <is>
          <t>No</t>
        </is>
      </c>
      <c r="H85" s="23" t="n">
        <v>5</v>
      </c>
      <c r="I85" s="22" t="inlineStr">
        <is>
          <t>Needed</t>
        </is>
      </c>
      <c r="J85" s="24" t="inlineStr">
        <is>
          <t>Grants Karlov fear for an evasive kill.</t>
        </is>
      </c>
    </row>
    <row r="86" ht="15" customHeight="1" s="18">
      <c r="A86" s="21" t="n">
        <v>1</v>
      </c>
      <c r="B86" s="22" t="inlineStr">
        <is>
          <t>Lands</t>
        </is>
      </c>
      <c r="C86" s="22" t="inlineStr">
        <is>
          <t>Godless Shrine</t>
        </is>
      </c>
      <c r="D86" s="22" t="inlineStr">
        <is>
          <t>Land</t>
        </is>
      </c>
      <c r="E86" s="21" t="n">
        <v>0</v>
      </c>
      <c r="F86" s="21" t="inlineStr">
        <is>
          <t>W/B</t>
        </is>
      </c>
      <c r="G86" s="21" t="inlineStr">
        <is>
          <t>No</t>
        </is>
      </c>
      <c r="H86" s="23" t="n">
        <v>12</v>
      </c>
      <c r="I86" s="22" t="inlineStr">
        <is>
          <t>Needed</t>
        </is>
      </c>
      <c r="J86" s="24" t="inlineStr">
        <is>
          <t>Untapped W/B dual (shock land).</t>
        </is>
      </c>
    </row>
    <row r="87" ht="15" customHeight="1" s="18">
      <c r="A87" s="21" t="n">
        <v>7</v>
      </c>
      <c r="B87" s="22" t="inlineStr">
        <is>
          <t>Lands</t>
        </is>
      </c>
      <c r="C87" s="22" t="inlineStr">
        <is>
          <t>Plains</t>
        </is>
      </c>
      <c r="D87" s="22" t="inlineStr">
        <is>
          <t>Land</t>
        </is>
      </c>
      <c r="E87" s="21" t="n">
        <v>0</v>
      </c>
      <c r="F87" s="21" t="inlineStr">
        <is>
          <t>W</t>
        </is>
      </c>
      <c r="G87" s="21" t="inlineStr">
        <is>
          <t>No</t>
        </is>
      </c>
      <c r="H87" s="23" t="n">
        <v>0.1</v>
      </c>
      <c r="I87" s="22" t="inlineStr">
        <is>
          <t>Owned</t>
        </is>
      </c>
      <c r="J87" s="24" t="inlineStr">
        <is>
          <t>Basic white source.</t>
        </is>
      </c>
    </row>
    <row r="88">
      <c r="A88" s="21" t="n">
        <v>10</v>
      </c>
      <c r="B88" s="22" t="inlineStr">
        <is>
          <t>Lands</t>
        </is>
      </c>
      <c r="C88" s="22" t="inlineStr">
        <is>
          <t>Swamp</t>
        </is>
      </c>
      <c r="D88" s="22" t="inlineStr">
        <is>
          <t>Land</t>
        </is>
      </c>
      <c r="E88" s="21" t="n">
        <v>0</v>
      </c>
      <c r="F88" s="21" t="inlineStr">
        <is>
          <t>B</t>
        </is>
      </c>
      <c r="G88" s="21" t="inlineStr">
        <is>
          <t>No</t>
        </is>
      </c>
      <c r="H88" s="23" t="n">
        <v>0.1</v>
      </c>
      <c r="I88" s="22" t="inlineStr">
        <is>
          <t>Owned</t>
        </is>
      </c>
      <c r="J88" s="24" t="inlineStr">
        <is>
          <t>Basic black source.</t>
        </is>
      </c>
    </row>
  </sheetData>
  <autoFilter ref="A3:J8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17" min="1" max="1"/>
    <col width="45" customWidth="1" style="17" min="2" max="2"/>
    <col width="14" customWidth="1" style="17" min="3" max="3"/>
  </cols>
  <sheetData>
    <row r="1"/>
    <row r="2" ht="22.05" customHeight="1" s="18">
      <c r="B2" s="19" t="inlineStr">
        <is>
          <t>Karlov of the Ghost Council</t>
        </is>
      </c>
    </row>
    <row r="3" ht="15" customHeight="1" s="18">
      <c r="B3" s="25" t="inlineStr">
        <is>
          <t>Orzhov Lifegain &amp; Drain — Commander Deck Dashboard &amp; Analytics (v2)</t>
        </is>
      </c>
    </row>
    <row r="4"/>
    <row r="5" ht="17.35" customHeight="1" s="18">
      <c r="B5" s="26" t="inlineStr">
        <is>
          <t>Key Deck Metrics</t>
        </is>
      </c>
    </row>
    <row r="6" ht="15" customHeight="1" s="18">
      <c r="B6" s="27" t="inlineStr">
        <is>
          <t>Metric</t>
        </is>
      </c>
      <c r="C6" s="27" t="inlineStr">
        <is>
          <t>Value</t>
        </is>
      </c>
    </row>
    <row r="7" ht="15" customHeight="1" s="18">
      <c r="B7" s="28" t="inlineStr">
        <is>
          <t>Total Cards</t>
        </is>
      </c>
      <c r="C7" s="29">
        <f>SUM(Decklist!A4:A150)</f>
        <v/>
      </c>
    </row>
    <row r="8" ht="15" customHeight="1" s="18">
      <c r="B8" s="28" t="inlineStr">
        <is>
          <t>Total Deck Cost (USD)</t>
        </is>
      </c>
      <c r="C8" s="30">
        <f>SUMPRODUCT(Decklist!A4:A150,Decklist!H4:H150)</f>
        <v/>
      </c>
    </row>
    <row r="9" ht="15" customHeight="1" s="18">
      <c r="B9" s="28" t="inlineStr">
        <is>
          <t>USD → CAD Rate</t>
        </is>
      </c>
      <c r="C9" s="31" t="n">
        <v>1.4203</v>
      </c>
    </row>
    <row r="10" ht="15" customHeight="1" s="18">
      <c r="B10" s="28" t="inlineStr">
        <is>
          <t>Total Deck Cost (CAD)</t>
        </is>
      </c>
      <c r="C10" s="30">
        <f>C8*$C$9</f>
        <v/>
      </c>
    </row>
    <row r="11" ht="15" customHeight="1" s="18">
      <c r="B11" s="28" t="inlineStr">
        <is>
          <t>Max Mana Value</t>
        </is>
      </c>
      <c r="C11" s="29">
        <f>MAX(Decklist!E4:E150)</f>
        <v/>
      </c>
    </row>
    <row r="12" ht="15" customHeight="1" s="18">
      <c r="B12" s="28" t="inlineStr">
        <is>
          <t>Avg Mana Value (Spells)</t>
        </is>
      </c>
      <c r="C12" s="32">
        <f>AVERAGEIF(Decklist!B4:B150,"&lt;&gt;Lands",Decklist!E4:E150)</f>
        <v/>
      </c>
    </row>
    <row r="13" ht="15" customHeight="1" s="18">
      <c r="B13" s="28" t="inlineStr">
        <is>
          <t>Total Lands</t>
        </is>
      </c>
      <c r="C13" s="29">
        <f>SUMIF(Decklist!B4:B150,"Lands",Decklist!A4:A150)</f>
        <v/>
      </c>
    </row>
    <row r="14" ht="15" customHeight="1" s="18">
      <c r="B14" s="28" t="inlineStr">
        <is>
          <t>Basic Lands</t>
        </is>
      </c>
      <c r="C14" s="29">
        <f>SUMIFS(Decklist!A4:A150,Decklist!B4:B150,"Lands",Decklist!J4:J150,"Basic*")</f>
        <v/>
      </c>
    </row>
    <row r="15" ht="15" customHeight="1" s="18">
      <c r="B15" s="28" t="inlineStr">
        <is>
          <t>Lifegain Triggers (Engines + Payoffs)</t>
        </is>
      </c>
      <c r="C15" s="29">
        <f>SUMIF(Decklist!B4:B150,"Lifegain Engines",Decklist!A4:A150)+SUMIF(Decklist!B4:B150,"Lifegain Payoffs",Decklist!A4:A150)</f>
        <v/>
      </c>
    </row>
    <row r="16" ht="15" customHeight="1" s="18">
      <c r="B16" s="28" t="inlineStr">
        <is>
          <t>W/B Dual-Colour Cards</t>
        </is>
      </c>
      <c r="C16" s="29">
        <f>SUMIF(Decklist!F4:F150,"W/B",Decklist!A4:A150)</f>
        <v/>
      </c>
    </row>
    <row r="17"/>
    <row r="18" ht="15" customHeight="1" s="18">
      <c r="B18" s="33" t="inlineStr">
        <is>
          <t>Karlov's exile ability needs six counters, i.e. three life-gain triggers. The two combo pairs are Exquisite Blood + Sanguine Bond and Exquisite Blood + Vito / Vizkopa Guildmage.</t>
        </is>
      </c>
    </row>
    <row r="19"/>
    <row r="20"/>
    <row r="21" ht="17.35" customHeight="1" s="18">
      <c r="B21" s="26" t="inlineStr">
        <is>
          <t>Mana Curve</t>
        </is>
      </c>
    </row>
    <row r="22" ht="15" customHeight="1" s="18">
      <c r="B22" s="27" t="inlineStr">
        <is>
          <t>Mana Value</t>
        </is>
      </c>
      <c r="C22" s="27" t="inlineStr">
        <is>
          <t>Count</t>
        </is>
      </c>
    </row>
    <row r="23" ht="15" customHeight="1" s="18">
      <c r="B23" s="29" t="n">
        <v>1</v>
      </c>
      <c r="C23" s="29">
        <f>SUMIFS(Decklist!A4:A150,Decklist!E4:E150,B23,Decklist!B4:B150,"&lt;&gt;Lands")</f>
        <v/>
      </c>
    </row>
    <row r="24" ht="15" customHeight="1" s="18">
      <c r="B24" s="29" t="n">
        <v>2</v>
      </c>
      <c r="C24" s="29">
        <f>SUMIFS(Decklist!A4:A150,Decklist!E4:E150,B24,Decklist!B4:B150,"&lt;&gt;Lands")</f>
        <v/>
      </c>
    </row>
    <row r="25" ht="15" customHeight="1" s="18">
      <c r="B25" s="29" t="n">
        <v>3</v>
      </c>
      <c r="C25" s="29">
        <f>SUMIFS(Decklist!A4:A150,Decklist!E4:E150,B25,Decklist!B4:B150,"&lt;&gt;Lands")</f>
        <v/>
      </c>
    </row>
    <row r="26" ht="15" customHeight="1" s="18">
      <c r="B26" s="29" t="n">
        <v>4</v>
      </c>
      <c r="C26" s="29">
        <f>SUMIFS(Decklist!A4:A150,Decklist!E4:E150,B26,Decklist!B4:B150,"&lt;&gt;Lands")</f>
        <v/>
      </c>
    </row>
    <row r="27" ht="15" customHeight="1" s="18">
      <c r="B27" s="29" t="n">
        <v>5</v>
      </c>
      <c r="C27" s="29">
        <f>SUMIFS(Decklist!A4:A150,Decklist!E4:E150,B27,Decklist!B4:B150,"&lt;&gt;Lands")</f>
        <v/>
      </c>
    </row>
    <row r="28" ht="15" customHeight="1" s="18">
      <c r="B28" s="29" t="n">
        <v>6</v>
      </c>
      <c r="C28" s="29">
        <f>SUMIFS(Decklist!A4:A150,Decklist!E4:E150,B28,Decklist!B4:B150,"&lt;&gt;Lands")</f>
        <v/>
      </c>
    </row>
    <row r="29" ht="15" customHeight="1" s="18">
      <c r="B29" s="29" t="n">
        <v>7</v>
      </c>
      <c r="C29" s="29">
        <f>SUMIFS(Decklist!A4:A150,Decklist!E4:E150,B29,Decklist!B4:B150,"&lt;&gt;Lands")</f>
        <v/>
      </c>
    </row>
    <row r="30" ht="15" customHeight="1" s="18">
      <c r="B30" s="29" t="n">
        <v>8</v>
      </c>
      <c r="C30" s="29">
        <f>SUMIFS(Decklist!A4:A150,Decklist!E4:E150,B30,Decklist!B4:B150,"&lt;&gt;Lands")</f>
        <v/>
      </c>
    </row>
    <row r="31"/>
    <row r="32"/>
    <row r="33" ht="17.35" customHeight="1" s="18">
      <c r="B33" s="26" t="inlineStr">
        <is>
          <t>Category Breakdown</t>
        </is>
      </c>
    </row>
    <row r="34" ht="15" customHeight="1" s="18">
      <c r="B34" s="27" t="inlineStr">
        <is>
          <t>Category</t>
        </is>
      </c>
      <c r="C34" s="27" t="inlineStr">
        <is>
          <t>Count</t>
        </is>
      </c>
    </row>
    <row r="35" ht="15" customHeight="1" s="18">
      <c r="B35" s="29" t="inlineStr">
        <is>
          <t>Commander</t>
        </is>
      </c>
      <c r="C35" s="29">
        <f>SUMIF(Decklist!B4:B150,B35,Decklist!A4:A150)</f>
        <v/>
      </c>
    </row>
    <row r="36" ht="15" customHeight="1" s="18">
      <c r="B36" s="29" t="inlineStr">
        <is>
          <t>Lifegain Engines</t>
        </is>
      </c>
      <c r="C36" s="29">
        <f>SUMIF(Decklist!B4:B150,B36,Decklist!A4:A150)</f>
        <v/>
      </c>
    </row>
    <row r="37" ht="15" customHeight="1" s="18">
      <c r="B37" s="29" t="inlineStr">
        <is>
          <t>Lifegain Payoffs</t>
        </is>
      </c>
      <c r="C37" s="29">
        <f>SUMIF(Decklist!B4:B150,B37,Decklist!A4:A150)</f>
        <v/>
      </c>
    </row>
    <row r="38" ht="15" customHeight="1" s="18">
      <c r="B38" s="29" t="inlineStr">
        <is>
          <t>Card Advantage</t>
        </is>
      </c>
      <c r="C38" s="29">
        <f>SUMIF(Decklist!B4:B150,B38,Decklist!A4:A150)</f>
        <v/>
      </c>
    </row>
    <row r="39" ht="15" customHeight="1" s="18">
      <c r="B39" s="29" t="inlineStr">
        <is>
          <t>Ramp &amp; Fixing</t>
        </is>
      </c>
      <c r="C39" s="29">
        <f>SUMIF(Decklist!B4:B150,B39,Decklist!A4:A150)</f>
        <v/>
      </c>
    </row>
    <row r="40" ht="15" customHeight="1" s="18">
      <c r="B40" s="29" t="inlineStr">
        <is>
          <t>Removal &amp; Wraths</t>
        </is>
      </c>
      <c r="C40" s="29">
        <f>SUMIF(Decklist!B4:B150,B40,Decklist!A4:A150)</f>
        <v/>
      </c>
    </row>
    <row r="41" ht="15" customHeight="1" s="18">
      <c r="B41" s="29" t="inlineStr">
        <is>
          <t>Protection &amp; Equipment</t>
        </is>
      </c>
      <c r="C41" s="29">
        <f>SUMIF(Decklist!B4:B150,B41,Decklist!A4:A150)</f>
        <v/>
      </c>
    </row>
    <row r="42" ht="15" customHeight="1" s="18">
      <c r="B42" s="29" t="inlineStr">
        <is>
          <t>Lands</t>
        </is>
      </c>
      <c r="C42" s="29">
        <f>SUMIF(Decklist!B4:B150,B42,Decklist!A4:A150)</f>
        <v/>
      </c>
    </row>
    <row r="43" ht="15" customHeight="1" s="18">
      <c r="B43" s="28" t="inlineStr">
        <is>
          <t>Total</t>
        </is>
      </c>
      <c r="C43" s="28">
        <f>SUM(C35:C42)</f>
        <v/>
      </c>
    </row>
    <row r="44"/>
    <row r="45"/>
    <row r="46" ht="17.35" customHeight="1" s="18">
      <c r="B46" s="26" t="inlineStr">
        <is>
          <t>Card Type Breakdown</t>
        </is>
      </c>
    </row>
    <row r="47" ht="15" customHeight="1" s="18">
      <c r="B47" s="27" t="inlineStr">
        <is>
          <t>Card Type</t>
        </is>
      </c>
      <c r="C47" s="27" t="inlineStr">
        <is>
          <t>Count</t>
        </is>
      </c>
    </row>
    <row r="48" ht="15" customHeight="1" s="18">
      <c r="B48" s="29" t="inlineStr">
        <is>
          <t>Creature</t>
        </is>
      </c>
      <c r="C48" s="29">
        <f>SUMIF(Decklist!D4:D150,B48,Decklist!A4:A150)</f>
        <v/>
      </c>
    </row>
    <row r="49" ht="15" customHeight="1" s="18">
      <c r="B49" s="29" t="inlineStr">
        <is>
          <t>Planeswalker</t>
        </is>
      </c>
      <c r="C49" s="29">
        <f>SUMIF(Decklist!D4:D150,B49,Decklist!A4:A150)</f>
        <v/>
      </c>
    </row>
    <row r="50" ht="15" customHeight="1" s="18">
      <c r="B50" s="29" t="inlineStr">
        <is>
          <t>Instant</t>
        </is>
      </c>
      <c r="C50" s="29">
        <f>SUMIF(Decklist!D4:D150,B50,Decklist!A4:A150)</f>
        <v/>
      </c>
    </row>
    <row r="51" ht="15" customHeight="1" s="18">
      <c r="B51" s="29" t="inlineStr">
        <is>
          <t>Sorcery</t>
        </is>
      </c>
      <c r="C51" s="29">
        <f>SUMIF(Decklist!D4:D150,B51,Decklist!A4:A150)</f>
        <v/>
      </c>
    </row>
    <row r="52" ht="15" customHeight="1" s="18">
      <c r="B52" s="29" t="inlineStr">
        <is>
          <t>Artifact</t>
        </is>
      </c>
      <c r="C52" s="29">
        <f>SUMIF(Decklist!D4:D150,B52,Decklist!A4:A150)</f>
        <v/>
      </c>
    </row>
    <row r="53" ht="15" customHeight="1" s="18">
      <c r="B53" s="29" t="inlineStr">
        <is>
          <t>Enchantment</t>
        </is>
      </c>
      <c r="C53" s="29">
        <f>SUMIF(Decklist!D4:D150,B53,Decklist!A4:A150)</f>
        <v/>
      </c>
    </row>
    <row r="54" ht="15" customHeight="1" s="18">
      <c r="B54" s="29" t="inlineStr">
        <is>
          <t>Land</t>
        </is>
      </c>
      <c r="C54" s="29">
        <f>SUMIF(Decklist!D4:D150,B54,Decklist!A4:A150)</f>
        <v/>
      </c>
    </row>
    <row r="55" ht="15" customHeight="1" s="18">
      <c r="B55" s="28" t="inlineStr">
        <is>
          <t>Total</t>
        </is>
      </c>
      <c r="C55" s="28">
        <f>SUM(C48:C54)</f>
        <v/>
      </c>
    </row>
    <row r="56"/>
    <row r="57"/>
    <row r="58" ht="17.35" customHeight="1" s="18">
      <c r="B58" s="26" t="inlineStr">
        <is>
          <t>Notes on this sheet</t>
        </is>
      </c>
    </row>
    <row r="59" ht="15" customHeight="1" s="18">
      <c r="B59" s="34" t="inlineStr">
        <is>
          <t>• Prices in Decklist column H are rough placeholder estimates only - update from TCGplayer / Face to Face before ordering.</t>
        </is>
      </c>
    </row>
    <row r="60" ht="15" customHeight="1" s="18">
      <c r="B60" s="34" t="inlineStr">
        <is>
          <t>• Yellow cells are inputs. C9 (FX rate) is carried over from the Lorehold v15 and Seluma v1 builds at 1 USD = 1.4203 CAD.</t>
        </is>
      </c>
    </row>
    <row r="61" ht="15" customHeight="1" s="18">
      <c r="B61" s="34" t="inlineStr">
        <is>
          <t>• Collection Status in column I is an input - everything is set to 'Needed' as a starting point; update it to 'Owned' or 'Owned (Other Deck)' as you check your binder.</t>
        </is>
      </c>
    </row>
    <row r="62" ht="15" customHeight="1" s="18">
      <c r="B62" s="34" t="inlineStr">
        <is>
          <t>• The source list used 'U' for black mana pips (e.g. Necropotence as UUU). These have been read as {B}; colour identity in column F reflects the real Orzhov costs.</t>
        </is>
      </c>
    </row>
    <row r="63" ht="15" customHeight="1" s="18">
      <c r="B63" s="34" t="inlineStr">
        <is>
          <t>• Two mana values were corrected against the printed cards: Damn is {1}{B}{B} (MV 3, listed as 2) and Fracture is {1}{W}{B} (MV 3, listed as 2).</t>
        </is>
      </c>
    </row>
    <row r="64" ht="15" customHeight="1" s="18">
      <c r="B64" s="34" t="inlineStr">
        <is>
          <t>• Debt to the Deathless is counted at MV 4 with X = 0.</t>
        </is>
      </c>
    </row>
    <row r="65" ht="15" customHeight="1" s="18">
      <c r="B65" s="34" t="inlineStr">
        <is>
          <t>• Land count is 37 (19 nonbasic + 7 Plains + 11 Swamp), and the deck totals exactly 100 cards with the commander.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2026-09-01T21:42:43Z</dcterms:created>
  <dcterms:modified xsi:type="dcterms:W3CDTF">2026-09-05T03:27:22Z</dcterms:modified>
  <cp:revision>0</cp:revision>
</cp:coreProperties>
</file>