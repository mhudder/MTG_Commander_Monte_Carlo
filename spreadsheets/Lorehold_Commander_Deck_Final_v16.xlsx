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shboard" sheetId="1" state="visible" r:id="rId1"/>
    <sheet name="Decklist" sheetId="2" state="visible" r:id="rId2"/>
  </sheets>
  <definedNames>
    <definedName name="_xlnm._FilterDatabase" localSheetId="1" hidden="1">'Decklist'!$A$3:$J$93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8B0000"/>
      <sz val="18"/>
    </font>
    <font>
      <name val="Segoe UI"/>
      <charset val="1"/>
      <family val="0"/>
      <i val="1"/>
      <color rgb="FF555555"/>
      <sz val="12"/>
    </font>
    <font>
      <name val="Segoe UI"/>
      <charset val="1"/>
      <family val="0"/>
      <b val="1"/>
      <color rgb="FF8B0000"/>
      <sz val="14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sz val="11"/>
    </font>
    <font>
      <name val="Segoe UI"/>
      <charset val="1"/>
      <family val="0"/>
      <sz val="11"/>
    </font>
    <font>
      <name val="Segoe UI"/>
      <charset val="1"/>
      <family val="0"/>
      <b val="1"/>
      <color rgb="FF8B00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8B0000"/>
        <bgColor rgb="FF8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8B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4BACC6"/>
      <rgbColor rgb="FF9BBB59"/>
      <rgbColor rgb="FFFFCC00"/>
      <rgbColor rgb="FFF79646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8064A2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Mana Curve (Spells)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Dashboard!$C$14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Dashboard!$B$15:$B$26</f>
              <strCach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strCache>
            </strRef>
          </cat>
          <val>
            <numRef>
              <f>Dashboard!$C$15:$C$26</f>
              <numCache>
                <formatCode>General</formatCode>
                <ptCount val="12"/>
                <pt idx="0">
                  <v>11</v>
                </pt>
                <pt idx="1">
                  <v>12</v>
                </pt>
                <pt idx="2">
                  <v>11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6</v>
                </pt>
                <pt idx="7">
                  <v>2</v>
                </pt>
                <pt idx="8">
                  <v>2</v>
                </pt>
                <pt idx="9">
                  <v>3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37980704"/>
        <axId val="35399170"/>
      </barChart>
      <catAx>
        <axId val="37980704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lang="en-CA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Mana Value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399170"/>
        <crosses val="autoZero"/>
        <auto val="1"/>
        <lblAlgn val="ctr"/>
        <lblOffset val="100"/>
        <noMultiLvlLbl val="0"/>
      </catAx>
      <valAx>
        <axId val="3539917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lang="en-CA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Number of Cards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7980704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Deck Composition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Dashboard!$C$30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672a8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ab4744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8aa64f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725990"/>
              </a:solidFill>
              <a:ln w="0">
                <a:noFill/>
                <a:prstDash val="solid"/>
              </a:ln>
            </spPr>
          </dPt>
          <dPt>
            <idx val="4"/>
            <spPr>
              <a:solidFill>
                <a:srgbClr val="4299b0"/>
              </a:solidFill>
              <a:ln w="0">
                <a:noFill/>
                <a:prstDash val="solid"/>
              </a:ln>
            </spPr>
          </dPt>
          <dPt>
            <idx val="5"/>
            <spPr>
              <a:solidFill>
                <a:srgbClr val="dc853e"/>
              </a:solidFill>
              <a:ln w="0">
                <a:noFill/>
                <a:prstDash val="solid"/>
              </a:ln>
            </spPr>
          </dPt>
          <dPt>
            <idx val="6"/>
            <spPr>
              <a:solidFill>
                <a:srgbClr val="93a9ce"/>
              </a:solidFill>
              <a:ln w="0">
                <a:noFill/>
                <a:prstDash val="solid"/>
              </a:ln>
            </spPr>
          </dPt>
          <dPt>
            <idx val="7"/>
            <spPr>
              <a:solidFill>
                <a:srgbClr val="d09493"/>
              </a:solidFill>
              <a:ln w="0">
                <a:noFill/>
                <a:prstDash val="solid"/>
              </a:ln>
            </spPr>
          </dPt>
          <dPt>
            <idx val="8"/>
            <spPr>
              <a:solidFill>
                <a:srgbClr val="b8cd97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Dashboard!$B$31:$B$39</f>
              <strCache>
                <ptCount val="9"/>
                <pt idx="0">
                  <v>Commander</v>
                </pt>
                <pt idx="1">
                  <v>Massive Haymakers</v>
                </pt>
                <pt idx="2">
                  <v>Support Creatures</v>
                </pt>
                <pt idx="3">
                  <v>Top-Deck Engines</v>
                </pt>
                <pt idx="4">
                  <v>Interaction &amp; Protection</v>
                </pt>
                <pt idx="5">
                  <v>Cross-Turn Mana</v>
                </pt>
                <pt idx="6">
                  <v>Mana Accelerants</v>
                </pt>
                <pt idx="7">
                  <v>Lands / Spells</v>
                </pt>
                <pt idx="8">
                  <v>Lands</v>
                </pt>
              </strCache>
            </strRef>
          </cat>
          <val>
            <numRef>
              <f>Dashboard!$C$31:$C$39</f>
              <numCache>
                <formatCode>General</formatCode>
                <ptCount val="9"/>
                <pt idx="0">
                  <v>1</v>
                </pt>
                <pt idx="1">
                  <v>18</v>
                </pt>
                <pt idx="2">
                  <v>6</v>
                </pt>
                <pt idx="3">
                  <v>9</v>
                </pt>
                <pt idx="4">
                  <v>19</v>
                </pt>
                <pt idx="5">
                  <v>3</v>
                </pt>
                <pt idx="6">
                  <v>6</v>
                </pt>
                <pt idx="7">
                  <v>3</v>
                </pt>
                <pt idx="8">
                  <v>34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Deck Composition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Dashboard!$C$30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 w="0">
                <a:noFill/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 w="0">
                <a:noFill/>
                <a:prstDash val="solid"/>
              </a:ln>
            </spPr>
          </dPt>
          <dPt>
            <idx val="5"/>
            <spPr>
              <a:solidFill>
                <a:srgbClr val="f79646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Dashboard!$B$43:$B$48</f>
              <strCache>
                <ptCount val="6"/>
                <pt idx="0">
                  <v>Creature</v>
                </pt>
                <pt idx="1">
                  <v>Instant</v>
                </pt>
                <pt idx="2">
                  <v>Sorcery</v>
                </pt>
                <pt idx="3">
                  <v>Artifact</v>
                </pt>
                <pt idx="4">
                  <v>Enchantment</v>
                </pt>
                <pt idx="5">
                  <v>Lands</v>
                </pt>
              </strCache>
            </strRef>
          </cat>
          <val>
            <numRef>
              <f>Dashboard!$C$43:$C$48</f>
              <numCache>
                <formatCode>General</formatCode>
                <ptCount val="6"/>
                <pt idx="0">
                  <v>12</v>
                </pt>
                <pt idx="1">
                  <v>15</v>
                </pt>
                <pt idx="2">
                  <v>21</v>
                </pt>
                <pt idx="3">
                  <v>12</v>
                </pt>
                <pt idx="4">
                  <v>6</v>
                </pt>
                <pt idx="5">
                  <v>34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4</row>
      <rowOff>0</rowOff>
    </from>
    <to>
      <col>13</col>
      <colOff>256320</colOff>
      <row>21</row>
      <rowOff>18360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4</col>
      <colOff>0</colOff>
      <row>21</row>
      <rowOff>95400</rowOff>
    </from>
    <to>
      <col>13</col>
      <colOff>256320</colOff>
      <row>38</row>
      <rowOff>161280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13</col>
      <colOff>371520</colOff>
      <row>21</row>
      <rowOff>85680</rowOff>
    </from>
    <to>
      <col>23</col>
      <colOff>15840</colOff>
      <row>38</row>
      <rowOff>151560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51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27" activeCellId="0" sqref="B27"/>
    </sheetView>
  </sheetViews>
  <sheetFormatPr baseColWidth="8" defaultColWidth="8.6796875" defaultRowHeight="15" zeroHeight="0" outlineLevelRow="0"/>
  <cols>
    <col width="11" customWidth="1" style="17" min="1" max="1"/>
    <col width="45" customWidth="1" style="17" min="2" max="2"/>
    <col width="11" customWidth="1" style="17" min="3" max="3"/>
  </cols>
  <sheetData>
    <row r="2" ht="26.25" customHeight="1" s="18">
      <c r="B2" s="19" t="inlineStr">
        <is>
          <t>Lorehold, the Historian</t>
        </is>
      </c>
    </row>
    <row r="3" ht="17.25" customHeight="1" s="18">
      <c r="B3" s="20" t="inlineStr">
        <is>
          <t>Commander Deck Dashboard &amp; Analytics (v14)</t>
        </is>
      </c>
    </row>
    <row r="5" ht="20.25" customHeight="1" s="18">
      <c r="B5" s="21" t="inlineStr">
        <is>
          <t>Key Deck Metrics</t>
        </is>
      </c>
    </row>
    <row r="6" ht="16.5" customHeight="1" s="18">
      <c r="B6" s="22" t="inlineStr">
        <is>
          <t>Metric</t>
        </is>
      </c>
      <c r="C6" s="22" t="inlineStr">
        <is>
          <t>Value</t>
        </is>
      </c>
    </row>
    <row r="7" ht="16.5" customHeight="1" s="18">
      <c r="B7" s="23" t="inlineStr">
        <is>
          <t>Total Cards</t>
        </is>
      </c>
      <c r="C7" s="24">
        <f>SUM(Decklist!A4:A93)</f>
        <v/>
      </c>
    </row>
    <row r="8" ht="16.5" customHeight="1" s="18">
      <c r="B8" s="23" t="inlineStr">
        <is>
          <t>Total Deck Cost (USD)</t>
        </is>
      </c>
      <c r="C8" s="25">
        <f>SUMPRODUCT(Decklist!A4:A92, Decklist!H4:H92)</f>
        <v/>
      </c>
    </row>
    <row r="9" ht="16.5" customHeight="1" s="18">
      <c r="B9" s="23" t="inlineStr">
        <is>
          <t>Max Mana Value</t>
        </is>
      </c>
      <c r="C9" s="24">
        <f>MAX(Decklist!E4:E93)</f>
        <v/>
      </c>
    </row>
    <row r="10" ht="16.5" customHeight="1" s="18">
      <c r="B10" s="23" t="inlineStr">
        <is>
          <t>Avg Mana Value (Spells)</t>
        </is>
      </c>
      <c r="C10" s="26">
        <f>AVERAGEIF(Decklist!B4:B92, "&lt;&gt;Lands", Decklist!E4:E93)</f>
        <v/>
      </c>
    </row>
    <row r="13" ht="17.25" customHeight="1" s="18">
      <c r="B13" s="27" t="inlineStr">
        <is>
          <t>Mana Curve</t>
        </is>
      </c>
    </row>
    <row r="14" ht="16.5" customHeight="1" s="18">
      <c r="B14" s="28" t="inlineStr">
        <is>
          <t>Mana Value</t>
        </is>
      </c>
      <c r="C14" s="28" t="inlineStr">
        <is>
          <t>Count</t>
        </is>
      </c>
    </row>
    <row r="15" ht="16.5" customHeight="1" s="18">
      <c r="B15" s="24" t="n">
        <v>1</v>
      </c>
      <c r="C15" s="24">
        <f>SUMIFS(Decklist!A4:A92, Decklist!E4:E92, B15, Decklist!B4:B92, "&lt;&gt;Lands")</f>
        <v/>
      </c>
    </row>
    <row r="16" ht="16.5" customHeight="1" s="18">
      <c r="B16" s="24" t="n">
        <v>2</v>
      </c>
      <c r="C16" s="24">
        <f>SUMIFS(Decklist!A4:A92, Decklist!E4:E92, B16, Decklist!B4:B92, "&lt;&gt;Lands")</f>
        <v/>
      </c>
    </row>
    <row r="17" ht="16.5" customHeight="1" s="18">
      <c r="B17" s="24" t="n">
        <v>3</v>
      </c>
      <c r="C17" s="24">
        <f>SUMIFS(Decklist!A4:A92, Decklist!E4:E92, B17, Decklist!B4:B92, "&lt;&gt;Lands")</f>
        <v/>
      </c>
    </row>
    <row r="18" ht="16.5" customHeight="1" s="18">
      <c r="B18" s="24" t="n">
        <v>4</v>
      </c>
      <c r="C18" s="24">
        <f>SUMIFS(Decklist!A4:A92, Decklist!E4:E92, B18, Decklist!B4:B92, "&lt;&gt;Lands")</f>
        <v/>
      </c>
    </row>
    <row r="19" ht="16.5" customHeight="1" s="18">
      <c r="B19" s="24" t="n">
        <v>5</v>
      </c>
      <c r="C19" s="24">
        <f>SUMIFS(Decklist!A4:A92, Decklist!E4:E92, B19, Decklist!B4:B92, "&lt;&gt;Lands")</f>
        <v/>
      </c>
    </row>
    <row r="20" ht="16.5" customHeight="1" s="18">
      <c r="B20" s="24" t="n">
        <v>6</v>
      </c>
      <c r="C20" s="24">
        <f>SUMIFS(Decklist!A4:A92, Decklist!E4:E92, B20, Decklist!B4:B92, "&lt;&gt;Lands")</f>
        <v/>
      </c>
    </row>
    <row r="21" ht="16.5" customHeight="1" s="18">
      <c r="B21" s="24" t="n">
        <v>7</v>
      </c>
      <c r="C21" s="24">
        <f>SUMIFS(Decklist!A4:A92, Decklist!E4:E92, B21, Decklist!B4:B92, "&lt;&gt;Lands")</f>
        <v/>
      </c>
    </row>
    <row r="22" ht="16.5" customHeight="1" s="18">
      <c r="B22" s="24" t="n">
        <v>8</v>
      </c>
      <c r="C22" s="24">
        <f>SUMIFS(Decklist!A4:A92, Decklist!E4:E92, B22, Decklist!B4:B92, "&lt;&gt;Lands")</f>
        <v/>
      </c>
    </row>
    <row r="23" ht="16.5" customHeight="1" s="18">
      <c r="B23" s="24" t="n">
        <v>9</v>
      </c>
      <c r="C23" s="24">
        <f>SUMIFS(Decklist!A4:A92, Decklist!E4:E92, B23, Decklist!B4:B92, "&lt;&gt;Lands")</f>
        <v/>
      </c>
    </row>
    <row r="24" ht="16.5" customHeight="1" s="18">
      <c r="B24" s="24" t="n">
        <v>10</v>
      </c>
      <c r="C24" s="24">
        <f>SUMIFS(Decklist!A4:A92, Decklist!E4:E92, B24, Decklist!B4:B92, "&lt;&gt;Lands")</f>
        <v/>
      </c>
    </row>
    <row r="25" ht="16.5" customHeight="1" s="18">
      <c r="B25" s="24" t="n">
        <v>11</v>
      </c>
      <c r="C25" s="24">
        <f>SUMIFS(Decklist!A4:A92, Decklist!E4:E92, B25, Decklist!B4:B92, "&lt;&gt;Lands")</f>
        <v/>
      </c>
    </row>
    <row r="26" ht="16.5" customHeight="1" s="18">
      <c r="B26" s="24" t="n">
        <v>12</v>
      </c>
      <c r="C26" s="24">
        <f>SUMIFS(Decklist!A4:A92, Decklist!E4:E92, B26, Decklist!B4:B92, "&lt;&gt;Lands")</f>
        <v/>
      </c>
    </row>
    <row r="29" ht="17.25" customHeight="1" s="18">
      <c r="B29" s="27" t="inlineStr">
        <is>
          <t>Category Breakdown</t>
        </is>
      </c>
    </row>
    <row r="30" ht="16.5" customHeight="1" s="18">
      <c r="B30" s="28" t="inlineStr">
        <is>
          <t>Category</t>
        </is>
      </c>
      <c r="C30" s="28" t="inlineStr">
        <is>
          <t>Count</t>
        </is>
      </c>
    </row>
    <row r="31" ht="16.5" customHeight="1" s="18">
      <c r="B31" s="24" t="inlineStr">
        <is>
          <t>Commander</t>
        </is>
      </c>
      <c r="C31" s="24">
        <f>SUMIF(Decklist!B4:B92, B31, Decklist!A4:A92)</f>
        <v/>
      </c>
    </row>
    <row r="32" ht="16.5" customHeight="1" s="18">
      <c r="B32" s="24" t="inlineStr">
        <is>
          <t>Massive Haymakers</t>
        </is>
      </c>
      <c r="C32" s="24">
        <f>SUMIF(Decklist!B4:B92, B32, Decklist!A4:A92)</f>
        <v/>
      </c>
    </row>
    <row r="33" ht="16.5" customHeight="1" s="18">
      <c r="B33" s="24" t="inlineStr">
        <is>
          <t>Support Creatures</t>
        </is>
      </c>
      <c r="C33" s="24">
        <f>SUMIF(Decklist!B4:B92, B33, Decklist!A4:A92)</f>
        <v/>
      </c>
    </row>
    <row r="34" ht="16.5" customHeight="1" s="18">
      <c r="B34" s="24" t="inlineStr">
        <is>
          <t>Top-Deck Engines</t>
        </is>
      </c>
      <c r="C34" s="24">
        <f>SUMIF(Decklist!B4:B92, B34, Decklist!A4:A92)</f>
        <v/>
      </c>
    </row>
    <row r="35" ht="16.5" customHeight="1" s="18">
      <c r="B35" s="24" t="inlineStr">
        <is>
          <t>Interaction &amp; Protection</t>
        </is>
      </c>
      <c r="C35" s="24">
        <f>SUMIF(Decklist!B4:B92, B35, Decklist!A4:A92)</f>
        <v/>
      </c>
    </row>
    <row r="36" ht="16.5" customHeight="1" s="18">
      <c r="B36" s="24" t="inlineStr">
        <is>
          <t>Cross-Turn Mana</t>
        </is>
      </c>
      <c r="C36" s="24">
        <f>SUMIF(Decklist!B4:B92, B36, Decklist!A4:A92)</f>
        <v/>
      </c>
    </row>
    <row r="37" ht="16.5" customHeight="1" s="18">
      <c r="B37" s="24" t="inlineStr">
        <is>
          <t>Mana Accelerants</t>
        </is>
      </c>
      <c r="C37" s="24">
        <f>SUMIF(Decklist!B4:B92, B37, Decklist!A4:A92)</f>
        <v/>
      </c>
    </row>
    <row r="38" ht="16.5" customHeight="1" s="18">
      <c r="B38" s="24" t="inlineStr">
        <is>
          <t>Lands / Spells</t>
        </is>
      </c>
      <c r="C38" s="24">
        <f>SUMIF(Decklist!B4:B92, B38, Decklist!A4:A92)</f>
        <v/>
      </c>
    </row>
    <row r="39" ht="16.5" customHeight="1" s="18">
      <c r="B39" s="24" t="inlineStr">
        <is>
          <t>Lands</t>
        </is>
      </c>
      <c r="C39" s="24">
        <f>SUMIF(Decklist!B4:B92, B39, Decklist!A4:A92)</f>
        <v/>
      </c>
    </row>
    <row r="41" ht="17.25" customHeight="1" s="18">
      <c r="B41" s="27" t="inlineStr">
        <is>
          <t>Category Breakdown</t>
        </is>
      </c>
    </row>
    <row r="42" ht="16.5" customHeight="1" s="18">
      <c r="B42" s="28" t="inlineStr">
        <is>
          <t>Category</t>
        </is>
      </c>
      <c r="C42" s="28" t="inlineStr">
        <is>
          <t>Count</t>
        </is>
      </c>
    </row>
    <row r="43" ht="16.5" customHeight="1" s="18">
      <c r="B43" s="24" t="inlineStr">
        <is>
          <t>Creature</t>
        </is>
      </c>
      <c r="C43" s="24">
        <f>SUMIF(Decklist!D$4:D$104, B43, Decklist!A$4:A$104)</f>
        <v/>
      </c>
    </row>
    <row r="44" ht="16.5" customHeight="1" s="18">
      <c r="B44" s="24" t="inlineStr">
        <is>
          <t>Instant</t>
        </is>
      </c>
      <c r="C44" s="24">
        <f>SUMIF(Decklist!D$4:D$104, B44, Decklist!A$4:A$104)</f>
        <v/>
      </c>
    </row>
    <row r="45" ht="16.5" customHeight="1" s="18">
      <c r="B45" s="24" t="inlineStr">
        <is>
          <t>Sorcery</t>
        </is>
      </c>
      <c r="C45" s="24">
        <f>SUMIF(Decklist!D$4:D$104, B45, Decklist!A$4:A$104)</f>
        <v/>
      </c>
    </row>
    <row r="46" ht="16.5" customHeight="1" s="18">
      <c r="B46" s="24" t="inlineStr">
        <is>
          <t>Artifact</t>
        </is>
      </c>
      <c r="C46" s="24">
        <f>SUMIF(Decklist!D$4:D$104, B46, Decklist!A$4:A$104)</f>
        <v/>
      </c>
    </row>
    <row r="47" ht="16.5" customHeight="1" s="18">
      <c r="B47" s="24" t="inlineStr">
        <is>
          <t>Enchantment</t>
        </is>
      </c>
      <c r="C47" s="24">
        <f>SUMIF(Decklist!D$4:D$104, B47, Decklist!A$4:A$104)</f>
        <v/>
      </c>
    </row>
    <row r="48" ht="16.5" customHeight="1" s="18">
      <c r="B48" s="24" t="inlineStr">
        <is>
          <t>Lands</t>
        </is>
      </c>
      <c r="C48" s="24">
        <f>SUMIF(Decklist!B13:B101, B48, Decklist!A13:A101)</f>
        <v/>
      </c>
    </row>
    <row r="49" ht="16.5" customHeight="1" s="18">
      <c r="B49" s="24" t="n"/>
      <c r="C49" s="24">
        <f>SUM(C43:C48)</f>
        <v/>
      </c>
    </row>
    <row r="50" ht="16.5" customHeight="1" s="18">
      <c r="B50" s="24" t="n"/>
      <c r="C50" s="24" t="n"/>
    </row>
    <row r="51" ht="16.5" customHeight="1" s="18">
      <c r="B51" s="24" t="n"/>
      <c r="C51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8.6796875" defaultRowHeight="15" zeroHeight="0" outlineLevelRow="0"/>
  <cols>
    <col width="11" customWidth="1" style="17" min="1" max="1"/>
    <col width="27" customWidth="1" style="17" min="2" max="2"/>
    <col width="34" customWidth="1" style="17" min="3" max="3"/>
    <col width="14" customWidth="1" style="17" min="4" max="4"/>
    <col width="11" customWidth="1" style="17" min="5" max="8"/>
    <col width="20.57" customWidth="1" style="17" min="9" max="9"/>
    <col width="94" customWidth="1" style="17" min="10" max="10"/>
  </cols>
  <sheetData>
    <row r="1" ht="26.25" customHeight="1" s="18">
      <c r="A1" s="19" t="inlineStr">
        <is>
          <t>Lorehold, the Historian — Comprehensive Decklist (v16)</t>
        </is>
      </c>
    </row>
    <row r="2"/>
    <row r="3" ht="33" customHeight="1" s="18">
      <c r="A3" s="29" t="inlineStr">
        <is>
          <t>Quantity</t>
        </is>
      </c>
      <c r="B3" s="29" t="inlineStr">
        <is>
          <t>Category</t>
        </is>
      </c>
      <c r="C3" s="29" t="inlineStr">
        <is>
          <t>Card Name</t>
        </is>
      </c>
      <c r="D3" s="29" t="inlineStr">
        <is>
          <t>Card Type</t>
        </is>
      </c>
      <c r="E3" s="29" t="inlineStr">
        <is>
          <t>Mana Value</t>
        </is>
      </c>
      <c r="F3" s="29" t="inlineStr">
        <is>
          <t>Miracle Cost</t>
        </is>
      </c>
      <c r="G3" s="29" t="inlineStr">
        <is>
          <t>Key Card?</t>
        </is>
      </c>
      <c r="H3" s="29" t="inlineStr">
        <is>
          <t>Est. Cost (USD)</t>
        </is>
      </c>
      <c r="I3" s="29" t="inlineStr">
        <is>
          <t>Collection Status</t>
        </is>
      </c>
      <c r="J3" s="29" t="inlineStr">
        <is>
          <t>Notes &amp; Strategy</t>
        </is>
      </c>
    </row>
    <row r="4" ht="16.5" customHeight="1" s="18">
      <c r="A4" s="30" t="n">
        <v>1</v>
      </c>
      <c r="B4" s="31" t="inlineStr">
        <is>
          <t>Cross-Turn Mana</t>
        </is>
      </c>
      <c r="C4" s="31" t="inlineStr">
        <is>
          <t>Bender's Waterskin</t>
        </is>
      </c>
      <c r="D4" s="31" t="inlineStr">
        <is>
          <t>Artifact</t>
        </is>
      </c>
      <c r="E4" s="30" t="n">
        <v>3</v>
      </c>
      <c r="F4" s="30" t="n"/>
      <c r="G4" s="30" t="inlineStr">
        <is>
          <t>Yes</t>
        </is>
      </c>
      <c r="H4" s="32" t="n">
        <v>1.5</v>
      </c>
      <c r="I4" s="30" t="inlineStr">
        <is>
          <t>Owned</t>
        </is>
      </c>
      <c r="J4" s="31" t="inlineStr">
        <is>
          <t>Untaps on every untap step.</t>
        </is>
      </c>
    </row>
    <row r="5" ht="16.5" customHeight="1" s="18">
      <c r="A5" s="30" t="n">
        <v>1</v>
      </c>
      <c r="B5" s="31" t="inlineStr">
        <is>
          <t>Massive Haymakers</t>
        </is>
      </c>
      <c r="C5" s="31" t="inlineStr">
        <is>
          <t>Apex of Power</t>
        </is>
      </c>
      <c r="D5" s="31" t="inlineStr">
        <is>
          <t>Sorcery</t>
        </is>
      </c>
      <c r="E5" s="30" t="n">
        <v>10</v>
      </c>
      <c r="F5" s="30" t="n">
        <v>2</v>
      </c>
      <c r="G5" s="30" t="inlineStr">
        <is>
          <t>No</t>
        </is>
      </c>
      <c r="H5" s="32" t="n">
        <v>1</v>
      </c>
      <c r="I5" s="30" t="inlineStr">
        <is>
          <t>Owned</t>
        </is>
      </c>
      <c r="J5" s="31" t="inlineStr">
        <is>
          <t>Exiles top 7 to play, makes 10 mana from hand.</t>
        </is>
      </c>
    </row>
    <row r="6" ht="16.5" customHeight="1" s="18">
      <c r="A6" s="30" t="n">
        <v>1</v>
      </c>
      <c r="B6" s="31" t="inlineStr">
        <is>
          <t>Massive Haymakers</t>
        </is>
      </c>
      <c r="C6" s="31" t="inlineStr">
        <is>
          <t>Soulfire Eruption</t>
        </is>
      </c>
      <c r="D6" s="31" t="inlineStr">
        <is>
          <t>Sorcery</t>
        </is>
      </c>
      <c r="E6" s="30" t="n">
        <v>9</v>
      </c>
      <c r="F6" s="30" t="n"/>
      <c r="G6" s="30" t="inlineStr">
        <is>
          <t>Yes</t>
        </is>
      </c>
      <c r="H6" s="32" t="n">
        <v>0.45</v>
      </c>
      <c r="I6" s="30" t="inlineStr">
        <is>
          <t>Owned</t>
        </is>
      </c>
      <c r="J6" s="31" t="inlineStr">
        <is>
          <t>Budget mass-damage / Card draw.</t>
        </is>
      </c>
    </row>
    <row r="7" ht="16.5" customHeight="1" s="18">
      <c r="A7" s="30" t="n">
        <v>1</v>
      </c>
      <c r="B7" s="31" t="inlineStr">
        <is>
          <t>Mana Accelerants</t>
        </is>
      </c>
      <c r="C7" s="31" t="inlineStr">
        <is>
          <t>Arcane Signet</t>
        </is>
      </c>
      <c r="D7" s="31" t="inlineStr">
        <is>
          <t>Artifact</t>
        </is>
      </c>
      <c r="E7" s="30" t="n">
        <v>2</v>
      </c>
      <c r="F7" s="30" t="n"/>
      <c r="G7" s="30" t="inlineStr">
        <is>
          <t>No</t>
        </is>
      </c>
      <c r="H7" s="32" t="n">
        <v>0.5</v>
      </c>
      <c r="I7" s="30" t="inlineStr">
        <is>
          <t>Owned</t>
        </is>
      </c>
      <c r="J7" s="31" t="inlineStr">
        <is>
          <t>Boros fixing.</t>
        </is>
      </c>
    </row>
    <row r="8" ht="16.5" customHeight="1" s="18">
      <c r="A8" s="30" t="n">
        <v>1</v>
      </c>
      <c r="B8" s="31" t="inlineStr">
        <is>
          <t>Mana Accelerants</t>
        </is>
      </c>
      <c r="C8" s="31" t="inlineStr">
        <is>
          <t>Boros Signet</t>
        </is>
      </c>
      <c r="D8" s="31" t="inlineStr">
        <is>
          <t>Artifact</t>
        </is>
      </c>
      <c r="E8" s="30" t="n">
        <v>2</v>
      </c>
      <c r="F8" s="30" t="n"/>
      <c r="G8" s="30" t="inlineStr">
        <is>
          <t>No</t>
        </is>
      </c>
      <c r="H8" s="32" t="n">
        <v>0.5</v>
      </c>
      <c r="I8" s="30" t="inlineStr">
        <is>
          <t>Owned</t>
        </is>
      </c>
      <c r="J8" s="31" t="inlineStr">
        <is>
          <t>Classic signet.</t>
        </is>
      </c>
    </row>
    <row r="9" ht="16.5" customHeight="1" s="18">
      <c r="A9" s="30" t="n">
        <v>1</v>
      </c>
      <c r="B9" s="31" t="inlineStr">
        <is>
          <t>Top-Deck Engines</t>
        </is>
      </c>
      <c r="C9" s="31" t="inlineStr">
        <is>
          <t>Library of Leng</t>
        </is>
      </c>
      <c r="D9" s="31" t="inlineStr">
        <is>
          <t>Artifact</t>
        </is>
      </c>
      <c r="E9" s="30" t="n">
        <v>1</v>
      </c>
      <c r="F9" s="30" t="n"/>
      <c r="G9" s="30" t="inlineStr">
        <is>
          <t>Yes</t>
        </is>
      </c>
      <c r="H9" s="32" t="n">
        <v>2</v>
      </c>
      <c r="I9" s="30" t="inlineStr">
        <is>
          <t>Owned</t>
        </is>
      </c>
      <c r="J9" s="31" t="inlineStr">
        <is>
          <t>Puts discarded cards on top to immediately miracle them.</t>
        </is>
      </c>
    </row>
    <row r="10" ht="16.5" customHeight="1" s="18">
      <c r="A10" s="30" t="n">
        <v>1</v>
      </c>
      <c r="B10" s="31" t="inlineStr">
        <is>
          <t>Top-Deck Engines</t>
        </is>
      </c>
      <c r="C10" s="31" t="inlineStr">
        <is>
          <t>Scroll Rack</t>
        </is>
      </c>
      <c r="D10" s="31" t="inlineStr">
        <is>
          <t>Artifact</t>
        </is>
      </c>
      <c r="E10" s="30" t="n">
        <v>2</v>
      </c>
      <c r="F10" s="30" t="n"/>
      <c r="G10" s="30" t="inlineStr">
        <is>
          <t>Yes</t>
        </is>
      </c>
      <c r="H10" s="32" t="n">
        <v>22</v>
      </c>
      <c r="I10" s="30" t="inlineStr">
        <is>
          <t>Owned</t>
        </is>
      </c>
      <c r="J10" s="31" t="inlineStr">
        <is>
          <t>Perfect hand-to-deck swapping mechanism.</t>
        </is>
      </c>
    </row>
    <row r="11" ht="16.5" customHeight="1" s="18">
      <c r="A11" s="30" t="n">
        <v>1</v>
      </c>
      <c r="B11" s="31" t="inlineStr">
        <is>
          <t>Top-Deck Engines</t>
        </is>
      </c>
      <c r="C11" s="31" t="inlineStr">
        <is>
          <t>Sensei's Divining Top</t>
        </is>
      </c>
      <c r="D11" s="31" t="inlineStr">
        <is>
          <t>Artifact</t>
        </is>
      </c>
      <c r="E11" s="30" t="n">
        <v>1</v>
      </c>
      <c r="F11" s="30" t="n"/>
      <c r="G11" s="30" t="inlineStr">
        <is>
          <t>Yes</t>
        </is>
      </c>
      <c r="H11" s="32" t="n">
        <v>25</v>
      </c>
      <c r="I11" s="30" t="inlineStr">
        <is>
          <t>Owned</t>
        </is>
      </c>
      <c r="J11" s="31" t="inlineStr">
        <is>
          <t>Rearranges top 3 and draws on demand.</t>
        </is>
      </c>
    </row>
    <row r="12" ht="16.5" customHeight="1" s="18">
      <c r="A12" s="30" t="n">
        <v>1</v>
      </c>
      <c r="B12" s="31" t="inlineStr">
        <is>
          <t>Mana Accelerants</t>
        </is>
      </c>
      <c r="C12" s="31" t="inlineStr">
        <is>
          <t>Sol Ring</t>
        </is>
      </c>
      <c r="D12" s="31" t="inlineStr">
        <is>
          <t>Artifact</t>
        </is>
      </c>
      <c r="E12" s="30" t="n">
        <v>1</v>
      </c>
      <c r="F12" s="30" t="n"/>
      <c r="G12" s="30" t="inlineStr">
        <is>
          <t>Yes</t>
        </is>
      </c>
      <c r="H12" s="32" t="n">
        <v>1.5</v>
      </c>
      <c r="I12" s="30" t="inlineStr">
        <is>
          <t>Owned</t>
        </is>
      </c>
      <c r="J12" s="31" t="inlineStr">
        <is>
          <t>Fast mana.</t>
        </is>
      </c>
    </row>
    <row r="13" ht="16.5" customHeight="1" s="18">
      <c r="A13" s="30" t="n">
        <v>1</v>
      </c>
      <c r="B13" s="31" t="inlineStr">
        <is>
          <t>Mana Accelerants</t>
        </is>
      </c>
      <c r="C13" s="31" t="inlineStr">
        <is>
          <t>Talisman of Conviction</t>
        </is>
      </c>
      <c r="D13" s="31" t="inlineStr">
        <is>
          <t>Artifact</t>
        </is>
      </c>
      <c r="E13" s="30" t="n">
        <v>2</v>
      </c>
      <c r="F13" s="30" t="n"/>
      <c r="G13" s="30" t="inlineStr">
        <is>
          <t>No</t>
        </is>
      </c>
      <c r="H13" s="32" t="n">
        <v>0.5</v>
      </c>
      <c r="I13" s="30" t="inlineStr">
        <is>
          <t>Owned</t>
        </is>
      </c>
      <c r="J13" s="31" t="inlineStr">
        <is>
          <t>Untapped fixing.</t>
        </is>
      </c>
    </row>
    <row r="14" ht="16.5" customHeight="1" s="18">
      <c r="A14" s="30" t="n">
        <v>1</v>
      </c>
      <c r="B14" s="31" t="inlineStr">
        <is>
          <t>Cross-Turn Mana</t>
        </is>
      </c>
      <c r="C14" s="31" t="inlineStr">
        <is>
          <t>Victory Chimes</t>
        </is>
      </c>
      <c r="D14" s="31" t="inlineStr">
        <is>
          <t>Artifact</t>
        </is>
      </c>
      <c r="E14" s="30" t="n">
        <v>3</v>
      </c>
      <c r="F14" s="30" t="n"/>
      <c r="G14" s="30" t="inlineStr">
        <is>
          <t>Yes</t>
        </is>
      </c>
      <c r="H14" s="32" t="n">
        <v>1</v>
      </c>
      <c r="I14" s="30" t="inlineStr">
        <is>
          <t>Owned</t>
        </is>
      </c>
      <c r="J14" s="31" t="inlineStr">
        <is>
          <t>Untaps on every player's untap step for miracle responses.</t>
        </is>
      </c>
    </row>
    <row r="15" ht="16.5" customHeight="1" s="18">
      <c r="A15" s="30" t="n">
        <v>1</v>
      </c>
      <c r="B15" s="31" t="inlineStr">
        <is>
          <t>Top-Deck Engines</t>
        </is>
      </c>
      <c r="C15" s="31" t="inlineStr">
        <is>
          <t>Dragon's Rage Channeler</t>
        </is>
      </c>
      <c r="D15" s="31" t="inlineStr">
        <is>
          <t>Creature</t>
        </is>
      </c>
      <c r="E15" s="30" t="n">
        <v>1</v>
      </c>
      <c r="F15" s="30" t="n"/>
      <c r="G15" s="30" t="inlineStr">
        <is>
          <t>Yes</t>
        </is>
      </c>
      <c r="H15" s="32" t="n">
        <v>1.5</v>
      </c>
      <c r="I15" s="30" t="inlineStr">
        <is>
          <t>Owned</t>
        </is>
      </c>
      <c r="J15" s="31" t="inlineStr">
        <is>
          <t>Surveil 1 sets up top-deck.</t>
        </is>
      </c>
    </row>
    <row r="16" ht="16.5" customHeight="1" s="18">
      <c r="A16" s="30" t="n">
        <v>1</v>
      </c>
      <c r="B16" s="31" t="inlineStr">
        <is>
          <t>Massive Haymakers</t>
        </is>
      </c>
      <c r="C16" s="31" t="inlineStr">
        <is>
          <t>Goliath Daydreamer</t>
        </is>
      </c>
      <c r="D16" s="31" t="inlineStr">
        <is>
          <t>Creature</t>
        </is>
      </c>
      <c r="E16" s="30" t="n">
        <v>4</v>
      </c>
      <c r="F16" s="30" t="n"/>
      <c r="G16" s="30" t="inlineStr">
        <is>
          <t>No</t>
        </is>
      </c>
      <c r="H16" s="32" t="n">
        <v>0.5</v>
      </c>
      <c r="I16" s="30" t="inlineStr">
        <is>
          <t>Owned</t>
        </is>
      </c>
      <c r="J16" s="31" t="inlineStr">
        <is>
          <t>Large threat / haymaker.</t>
        </is>
      </c>
    </row>
    <row r="17" ht="16.5" customHeight="1" s="18">
      <c r="A17" s="30" t="n">
        <v>1</v>
      </c>
      <c r="B17" s="31" t="inlineStr">
        <is>
          <t>Support Creatures</t>
        </is>
      </c>
      <c r="C17" s="31" t="inlineStr">
        <is>
          <t>Guttersnipe</t>
        </is>
      </c>
      <c r="D17" s="31" t="inlineStr">
        <is>
          <t>Creature</t>
        </is>
      </c>
      <c r="E17" s="30" t="n">
        <v>3</v>
      </c>
      <c r="F17" s="30" t="n"/>
      <c r="G17" s="30" t="inlineStr">
        <is>
          <t>No</t>
        </is>
      </c>
      <c r="H17" s="32" t="n">
        <v>0.25</v>
      </c>
      <c r="I17" s="30" t="inlineStr">
        <is>
          <t>Owned</t>
        </is>
      </c>
      <c r="J17" s="31" t="inlineStr">
        <is>
          <t>Burn damage on spells.</t>
        </is>
      </c>
    </row>
    <row r="18" ht="16.5" customHeight="1" s="18">
      <c r="A18" s="30" t="n">
        <v>1</v>
      </c>
      <c r="B18" s="31" t="inlineStr">
        <is>
          <t>Support Creatures</t>
        </is>
      </c>
      <c r="C18" s="31" t="inlineStr">
        <is>
          <t>Longshot, Rebel Bowman</t>
        </is>
      </c>
      <c r="D18" s="31" t="inlineStr">
        <is>
          <t>Creature</t>
        </is>
      </c>
      <c r="E18" s="30" t="n">
        <v>4</v>
      </c>
      <c r="F18" s="30" t="n"/>
      <c r="G18" s="30" t="inlineStr">
        <is>
          <t>No</t>
        </is>
      </c>
      <c r="H18" s="32" t="n">
        <v>0.5</v>
      </c>
      <c r="I18" s="30" t="inlineStr">
        <is>
          <t>Owned</t>
        </is>
      </c>
      <c r="J18" s="31" t="inlineStr">
        <is>
          <t>Archer with reach.</t>
        </is>
      </c>
    </row>
    <row r="19" ht="16.5" customHeight="1" s="18">
      <c r="A19" s="30" t="n">
        <v>1</v>
      </c>
      <c r="B19" s="31" t="inlineStr">
        <is>
          <t>Commander</t>
        </is>
      </c>
      <c r="C19" s="31" t="inlineStr">
        <is>
          <t>Lorehold, the Historian</t>
        </is>
      </c>
      <c r="D19" s="31" t="inlineStr">
        <is>
          <t>Creature</t>
        </is>
      </c>
      <c r="E19" s="30" t="n">
        <v>5</v>
      </c>
      <c r="F19" s="30" t="n"/>
      <c r="G19" s="30" t="inlineStr">
        <is>
          <t>Yes</t>
        </is>
      </c>
      <c r="H19" s="32" t="n">
        <v>2.5</v>
      </c>
      <c r="I19" s="30" t="inlineStr">
        <is>
          <t>Owned</t>
        </is>
      </c>
      <c r="J19" s="31" t="inlineStr">
        <is>
          <t>Grants Miracle {2} to all instants/sorceries.</t>
        </is>
      </c>
    </row>
    <row r="20" ht="16.5" customHeight="1" s="18">
      <c r="A20" s="30" t="n">
        <v>1</v>
      </c>
      <c r="B20" s="31" t="inlineStr">
        <is>
          <t>Support Creatures</t>
        </is>
      </c>
      <c r="C20" s="31" t="inlineStr">
        <is>
          <t>Pinnacle Monk</t>
        </is>
      </c>
      <c r="D20" s="31" t="inlineStr">
        <is>
          <t>Creature</t>
        </is>
      </c>
      <c r="E20" s="30" t="n">
        <v>5</v>
      </c>
      <c r="F20" s="30" t="n"/>
      <c r="G20" s="30" t="inlineStr">
        <is>
          <t>No</t>
        </is>
      </c>
      <c r="H20" s="32" t="n">
        <v>0.5</v>
      </c>
      <c r="I20" s="30" t="inlineStr">
        <is>
          <t>Owned</t>
        </is>
      </c>
      <c r="J20" s="31" t="inlineStr">
        <is>
          <t>Supports miracle/top-deck strategy.</t>
        </is>
      </c>
    </row>
    <row r="21" ht="16.5" customHeight="1" s="18">
      <c r="A21" s="30" t="n">
        <v>1</v>
      </c>
      <c r="B21" s="31" t="inlineStr">
        <is>
          <t>Support Creatures</t>
        </is>
      </c>
      <c r="C21" s="31" t="inlineStr">
        <is>
          <t>Storm-Kiln Artist</t>
        </is>
      </c>
      <c r="D21" s="31" t="inlineStr">
        <is>
          <t>Creature</t>
        </is>
      </c>
      <c r="E21" s="30" t="n">
        <v>4</v>
      </c>
      <c r="F21" s="30" t="n"/>
      <c r="G21" s="30" t="inlineStr">
        <is>
          <t>Yes</t>
        </is>
      </c>
      <c r="H21" s="32" t="n">
        <v>1.5</v>
      </c>
      <c r="I21" s="30" t="inlineStr">
        <is>
          <t>Owned</t>
        </is>
      </c>
      <c r="J21" s="31" t="inlineStr">
        <is>
          <t>Treasures from instants/sorceries.</t>
        </is>
      </c>
    </row>
    <row r="22" ht="16.5" customHeight="1" s="18">
      <c r="A22" s="30" t="n">
        <v>1</v>
      </c>
      <c r="B22" s="31" t="inlineStr">
        <is>
          <t>Massive Haymakers</t>
        </is>
      </c>
      <c r="C22" s="31" t="inlineStr">
        <is>
          <t>The Dawning Archaic</t>
        </is>
      </c>
      <c r="D22" s="31" t="inlineStr">
        <is>
          <t>Creature</t>
        </is>
      </c>
      <c r="E22" s="30" t="n">
        <v>10</v>
      </c>
      <c r="F22" s="30" t="n"/>
      <c r="G22" s="30" t="inlineStr">
        <is>
          <t>Yes</t>
        </is>
      </c>
      <c r="H22" s="32" t="n">
        <v>3</v>
      </c>
      <c r="I22" s="30" t="inlineStr">
        <is>
          <t>Need</t>
        </is>
      </c>
      <c r="J22" s="31" t="inlineStr">
        <is>
          <t>Cost reduced by {1} for each instant/sorcery in your graveyard — about {2.45} effective by T14. On attack, cast a free instant or sorcery from the yard. Replaces Triumph of Saint Katherine, whose death trigger shuffled away the top six.</t>
        </is>
      </c>
    </row>
    <row r="23" ht="16.5" customHeight="1" s="18">
      <c r="A23" s="30" t="n">
        <v>1</v>
      </c>
      <c r="B23" s="31" t="inlineStr">
        <is>
          <t>Support Creatures</t>
        </is>
      </c>
      <c r="C23" s="31" t="inlineStr">
        <is>
          <t>Monastery Mentor</t>
        </is>
      </c>
      <c r="D23" s="31" t="inlineStr">
        <is>
          <t>Creature</t>
        </is>
      </c>
      <c r="E23" s="30" t="n">
        <v>3</v>
      </c>
      <c r="F23" s="30" t="n"/>
      <c r="G23" s="30" t="inlineStr">
        <is>
          <t>Yes</t>
        </is>
      </c>
      <c r="H23" s="32" t="n">
        <v>6</v>
      </c>
      <c r="I23" s="30" t="inlineStr">
        <is>
          <t>Need</t>
        </is>
      </c>
      <c r="J23" s="31" t="inlineStr">
        <is>
          <t>Prowess; a 1/1 Monk whenever you cast a noncreature spell. Converts this deck's spell density into a board in a list with only eleven creatures. Replaces Urabrask.</t>
        </is>
      </c>
    </row>
    <row r="24" ht="16.5" customHeight="1" s="18">
      <c r="A24" s="30" t="n">
        <v>1</v>
      </c>
      <c r="B24" s="31" t="inlineStr">
        <is>
          <t>Top-Deck Engines</t>
        </is>
      </c>
      <c r="C24" s="31" t="inlineStr">
        <is>
          <t>Verge Rangers</t>
        </is>
      </c>
      <c r="D24" s="31" t="inlineStr">
        <is>
          <t>Creature</t>
        </is>
      </c>
      <c r="E24" s="30" t="n">
        <v>3</v>
      </c>
      <c r="F24" s="30" t="n"/>
      <c r="G24" s="30" t="inlineStr">
        <is>
          <t>Yes</t>
        </is>
      </c>
      <c r="H24" s="32" t="n">
        <v>0.5</v>
      </c>
      <c r="I24" s="30" t="inlineStr">
        <is>
          <t>Owned</t>
        </is>
      </c>
      <c r="J24" s="31" t="inlineStr">
        <is>
          <t>Allows you to look at the top card of your library at any time and play lands from the top.</t>
        </is>
      </c>
    </row>
    <row r="25" ht="16.5" customHeight="1" s="18">
      <c r="A25" s="30" t="n">
        <v>1</v>
      </c>
      <c r="B25" s="31" t="inlineStr">
        <is>
          <t>Top-Deck Engines</t>
        </is>
      </c>
      <c r="C25" s="31" t="inlineStr">
        <is>
          <t>Double Vision</t>
        </is>
      </c>
      <c r="D25" s="31" t="inlineStr">
        <is>
          <t>Enchantment</t>
        </is>
      </c>
      <c r="E25" s="30" t="n">
        <v>5</v>
      </c>
      <c r="F25" s="30" t="n"/>
      <c r="G25" s="30" t="inlineStr">
        <is>
          <t>Yes</t>
        </is>
      </c>
      <c r="H25" s="32" t="n">
        <v>2</v>
      </c>
      <c r="I25" s="30" t="inlineStr">
        <is>
          <t>Need</t>
        </is>
      </c>
      <c r="J25" s="31" t="inlineStr">
        <is>
          <t>Copy the first instant or sorcery you cast EACH TURN — Lorehold's rummage opens a window on all three opponents' turns. Copies miracled spells too. Replaces Hidden Retreat, whose real cost was a card, not mana.</t>
        </is>
      </c>
    </row>
    <row r="26" ht="16.5" customHeight="1" s="18">
      <c r="A26" s="30" t="n">
        <v>1</v>
      </c>
      <c r="B26" s="31" t="inlineStr">
        <is>
          <t>Support Creatures</t>
        </is>
      </c>
      <c r="C26" s="31" t="inlineStr">
        <is>
          <t>Arcane Bombardment</t>
        </is>
      </c>
      <c r="D26" s="31" t="inlineStr">
        <is>
          <t>Enchantment</t>
        </is>
      </c>
      <c r="E26" s="30" t="n">
        <v>6</v>
      </c>
      <c r="F26" s="30" t="n"/>
      <c r="G26" s="30" t="inlineStr">
        <is>
          <t>Yes</t>
        </is>
      </c>
      <c r="H26" s="32" t="n">
        <v>5</v>
      </c>
      <c r="I26" s="30" t="inlineStr">
        <is>
          <t>Need</t>
        </is>
      </c>
      <c r="J26" s="31" t="inlineStr">
        <is>
          <t>Exile and copy your first instant or sorcery EACH TURN; the exile pile accumulates, so the Nth trigger copies all N cards. High variance — fires in 7.9% of games, averaging 13.2 copies when it does. Replaces Monologue Tax.</t>
        </is>
      </c>
    </row>
    <row r="27" ht="16.5" customHeight="1" s="18">
      <c r="A27" s="30" t="n">
        <v>1</v>
      </c>
      <c r="B27" s="31" t="inlineStr">
        <is>
          <t>Interaction &amp; Protection</t>
        </is>
      </c>
      <c r="C27" s="31" t="inlineStr">
        <is>
          <t>Big Score</t>
        </is>
      </c>
      <c r="D27" s="31" t="inlineStr">
        <is>
          <t>Instant</t>
        </is>
      </c>
      <c r="E27" s="30" t="n">
        <v>4</v>
      </c>
      <c r="F27" s="30" t="n"/>
      <c r="G27" s="30" t="inlineStr">
        <is>
          <t>No</t>
        </is>
      </c>
      <c r="H27" s="32" t="n">
        <v>0.5</v>
      </c>
      <c r="I27" s="30" t="inlineStr">
        <is>
          <t>Owned</t>
        </is>
      </c>
      <c r="J27" s="31" t="inlineStr">
        <is>
          <t>Draw 2, 2 Treasures.</t>
        </is>
      </c>
    </row>
    <row r="28" ht="16.5" customHeight="1" s="18">
      <c r="A28" s="30" t="n">
        <v>1</v>
      </c>
      <c r="B28" s="31" t="inlineStr">
        <is>
          <t>Interaction &amp; Protection</t>
        </is>
      </c>
      <c r="C28" s="31" t="inlineStr">
        <is>
          <t>Bolt Bend</t>
        </is>
      </c>
      <c r="D28" s="31" t="inlineStr">
        <is>
          <t>Instant</t>
        </is>
      </c>
      <c r="E28" s="30" t="n">
        <v>4</v>
      </c>
      <c r="F28" s="30" t="n"/>
      <c r="G28" s="30" t="inlineStr">
        <is>
          <t>No</t>
        </is>
      </c>
      <c r="H28" s="32" t="n">
        <v>0.5</v>
      </c>
      <c r="I28" s="30" t="inlineStr">
        <is>
          <t>Owned</t>
        </is>
      </c>
      <c r="J28" s="31" t="inlineStr">
        <is>
          <t>Redirection spell.</t>
        </is>
      </c>
    </row>
    <row r="29" ht="16.5" customHeight="1" s="18">
      <c r="A29" s="30" t="n">
        <v>1</v>
      </c>
      <c r="B29" s="31" t="inlineStr">
        <is>
          <t>Interaction &amp; Protection</t>
        </is>
      </c>
      <c r="C29" s="31" t="inlineStr">
        <is>
          <t>Boros Charm</t>
        </is>
      </c>
      <c r="D29" s="31" t="inlineStr">
        <is>
          <t>Instant</t>
        </is>
      </c>
      <c r="E29" s="30" t="n">
        <v>2</v>
      </c>
      <c r="F29" s="30" t="n"/>
      <c r="G29" s="30" t="inlineStr">
        <is>
          <t>Yes</t>
        </is>
      </c>
      <c r="H29" s="32" t="n">
        <v>2.5</v>
      </c>
      <c r="I29" s="30" t="inlineStr">
        <is>
          <t>Owned</t>
        </is>
      </c>
      <c r="J29" s="31" t="inlineStr">
        <is>
          <t>Protects board or double strike.</t>
        </is>
      </c>
    </row>
    <row r="30" ht="16.5" customHeight="1" s="18">
      <c r="A30" s="30" t="n">
        <v>1</v>
      </c>
      <c r="B30" s="31" t="inlineStr">
        <is>
          <t>Interaction &amp; Protection</t>
        </is>
      </c>
      <c r="C30" s="31" t="inlineStr">
        <is>
          <t>Chaos Warp</t>
        </is>
      </c>
      <c r="D30" s="31" t="inlineStr">
        <is>
          <t>Instant</t>
        </is>
      </c>
      <c r="E30" s="30" t="n">
        <v>3</v>
      </c>
      <c r="F30" s="30" t="n"/>
      <c r="G30" s="30" t="inlineStr">
        <is>
          <t>No</t>
        </is>
      </c>
      <c r="H30" s="32" t="n">
        <v>1</v>
      </c>
      <c r="I30" s="30" t="inlineStr">
        <is>
          <t>Owned</t>
        </is>
      </c>
      <c r="J30" s="31" t="inlineStr">
        <is>
          <t>Red tuck removal.</t>
        </is>
      </c>
    </row>
    <row r="31" ht="16.5" customHeight="1" s="18">
      <c r="A31" s="30" t="n">
        <v>1</v>
      </c>
      <c r="B31" s="31" t="inlineStr">
        <is>
          <t>Interaction &amp; Protection</t>
        </is>
      </c>
      <c r="C31" s="31" t="inlineStr">
        <is>
          <t>Generous Gift</t>
        </is>
      </c>
      <c r="D31" s="31" t="inlineStr">
        <is>
          <t>Instant</t>
        </is>
      </c>
      <c r="E31" s="30" t="n">
        <v>3</v>
      </c>
      <c r="F31" s="30" t="n"/>
      <c r="G31" s="30" t="inlineStr">
        <is>
          <t>No</t>
        </is>
      </c>
      <c r="H31" s="32" t="n">
        <v>0.5</v>
      </c>
      <c r="I31" s="30" t="inlineStr">
        <is>
          <t>Owned</t>
        </is>
      </c>
      <c r="J31" s="31" t="inlineStr">
        <is>
          <t>Versatile removal.</t>
        </is>
      </c>
    </row>
    <row r="32" ht="16.5" customHeight="1" s="18">
      <c r="A32" s="30" t="n">
        <v>1</v>
      </c>
      <c r="B32" s="31" t="inlineStr">
        <is>
          <t>Massive Haymakers</t>
        </is>
      </c>
      <c r="C32" s="31" t="inlineStr">
        <is>
          <t>Invoke Calamity</t>
        </is>
      </c>
      <c r="D32" s="31" t="inlineStr">
        <is>
          <t>Instant</t>
        </is>
      </c>
      <c r="E32" s="30" t="n">
        <v>5</v>
      </c>
      <c r="F32" s="30" t="n"/>
      <c r="G32" s="30" t="inlineStr">
        <is>
          <t>Yes</t>
        </is>
      </c>
      <c r="H32" s="32" t="n">
        <v>0.5</v>
      </c>
      <c r="I32" s="30" t="inlineStr">
        <is>
          <t>Owned</t>
        </is>
      </c>
      <c r="J32" s="31" t="inlineStr">
        <is>
          <t>Free spell cast.</t>
        </is>
      </c>
    </row>
    <row r="33" ht="16.5" customHeight="1" s="18">
      <c r="A33" s="30" t="n">
        <v>1</v>
      </c>
      <c r="B33" s="31" t="inlineStr">
        <is>
          <t>Interaction &amp; Protection</t>
        </is>
      </c>
      <c r="C33" s="31" t="inlineStr">
        <is>
          <t>Path to Exile</t>
        </is>
      </c>
      <c r="D33" s="31" t="inlineStr">
        <is>
          <t>Instant</t>
        </is>
      </c>
      <c r="E33" s="30" t="n">
        <v>1</v>
      </c>
      <c r="F33" s="30" t="n"/>
      <c r="G33" s="30" t="inlineStr">
        <is>
          <t>No</t>
        </is>
      </c>
      <c r="H33" s="32" t="n">
        <v>1.5</v>
      </c>
      <c r="I33" s="30" t="inlineStr">
        <is>
          <t>Owned</t>
        </is>
      </c>
      <c r="J33" s="31" t="inlineStr">
        <is>
          <t>Efficient removal.</t>
        </is>
      </c>
    </row>
    <row r="34" ht="16.5" customHeight="1" s="18">
      <c r="A34" s="30" t="n">
        <v>1</v>
      </c>
      <c r="B34" s="31" t="inlineStr">
        <is>
          <t>Interaction &amp; Protection</t>
        </is>
      </c>
      <c r="C34" s="31" t="inlineStr">
        <is>
          <t>Perch Protection</t>
        </is>
      </c>
      <c r="D34" s="31" t="inlineStr">
        <is>
          <t>Instant</t>
        </is>
      </c>
      <c r="E34" s="30" t="n">
        <v>6</v>
      </c>
      <c r="F34" s="30" t="n"/>
      <c r="G34" s="30" t="inlineStr">
        <is>
          <t>Yes</t>
        </is>
      </c>
      <c r="H34" s="32" t="n">
        <v>3</v>
      </c>
      <c r="I34" s="30" t="inlineStr">
        <is>
          <t>Owned</t>
        </is>
      </c>
      <c r="J34" s="31" t="inlineStr">
        <is>
          <t>Phase-out protection / Tokens.</t>
        </is>
      </c>
    </row>
    <row r="35" ht="16.5" customHeight="1" s="18">
      <c r="A35" s="30" t="n">
        <v>1</v>
      </c>
      <c r="B35" s="31" t="inlineStr">
        <is>
          <t>Lands / Spells</t>
        </is>
      </c>
      <c r="C35" s="31" t="inlineStr">
        <is>
          <t>Sejiri Shelter</t>
        </is>
      </c>
      <c r="D35" s="31" t="inlineStr">
        <is>
          <t>Instant</t>
        </is>
      </c>
      <c r="E35" s="30" t="n">
        <v>2</v>
      </c>
      <c r="F35" s="30" t="n"/>
      <c r="G35" s="30" t="inlineStr">
        <is>
          <t>No</t>
        </is>
      </c>
      <c r="H35" s="32" t="n">
        <v>0.5</v>
      </c>
      <c r="I35" s="30" t="inlineStr">
        <is>
          <t>Owned</t>
        </is>
      </c>
      <c r="J35" s="31" t="inlineStr">
        <is>
          <t>MDFC protection.</t>
        </is>
      </c>
    </row>
    <row r="36" ht="16.5" customHeight="1" s="18">
      <c r="A36" s="30" t="n">
        <v>1</v>
      </c>
      <c r="B36" s="31" t="inlineStr">
        <is>
          <t>Interaction &amp; Protection</t>
        </is>
      </c>
      <c r="C36" s="31" t="inlineStr">
        <is>
          <t>Swords to Plowshares</t>
        </is>
      </c>
      <c r="D36" s="31" t="inlineStr">
        <is>
          <t>Instant</t>
        </is>
      </c>
      <c r="E36" s="30" t="n">
        <v>1</v>
      </c>
      <c r="F36" s="30" t="n"/>
      <c r="G36" s="30" t="inlineStr">
        <is>
          <t>No</t>
        </is>
      </c>
      <c r="H36" s="32" t="n">
        <v>1.5</v>
      </c>
      <c r="I36" s="30" t="inlineStr">
        <is>
          <t>Owned</t>
        </is>
      </c>
      <c r="J36" s="31" t="inlineStr">
        <is>
          <t>Premier removal.</t>
        </is>
      </c>
    </row>
    <row r="37" ht="16.5" customHeight="1" s="18">
      <c r="A37" s="30" t="n">
        <v>1</v>
      </c>
      <c r="B37" s="31" t="inlineStr">
        <is>
          <t>Interaction &amp; Protection</t>
        </is>
      </c>
      <c r="C37" s="31" t="inlineStr">
        <is>
          <t>Thrill of Possibility</t>
        </is>
      </c>
      <c r="D37" s="31" t="inlineStr">
        <is>
          <t>Instant</t>
        </is>
      </c>
      <c r="E37" s="30" t="n">
        <v>2</v>
      </c>
      <c r="F37" s="30" t="n"/>
      <c r="G37" s="30" t="inlineStr">
        <is>
          <t>No</t>
        </is>
      </c>
      <c r="H37" s="32" t="n">
        <v>0.15</v>
      </c>
      <c r="I37" s="30" t="inlineStr">
        <is>
          <t>Owned</t>
        </is>
      </c>
      <c r="J37" s="31" t="inlineStr">
        <is>
          <t>Instant rummage.</t>
        </is>
      </c>
    </row>
    <row r="38" ht="16.5" customHeight="1" s="18">
      <c r="A38" s="30" t="n">
        <v>1</v>
      </c>
      <c r="B38" s="31" t="inlineStr">
        <is>
          <t>Interaction &amp; Protection</t>
        </is>
      </c>
      <c r="C38" s="31" t="inlineStr">
        <is>
          <t>Unexpected Windfall</t>
        </is>
      </c>
      <c r="D38" s="31" t="inlineStr">
        <is>
          <t>Instant</t>
        </is>
      </c>
      <c r="E38" s="30" t="n">
        <v>4</v>
      </c>
      <c r="F38" s="30" t="n"/>
      <c r="G38" s="30" t="inlineStr">
        <is>
          <t>No</t>
        </is>
      </c>
      <c r="H38" s="32" t="n">
        <v>0.25</v>
      </c>
      <c r="I38" s="30" t="inlineStr">
        <is>
          <t>Owned</t>
        </is>
      </c>
      <c r="J38" s="31" t="inlineStr">
        <is>
          <t>Draw 2, 2 Treasures.</t>
        </is>
      </c>
    </row>
    <row r="39" ht="16.5" customHeight="1" s="18">
      <c r="A39" s="30" t="n">
        <v>1</v>
      </c>
      <c r="B39" s="31" t="inlineStr">
        <is>
          <t>Lands</t>
        </is>
      </c>
      <c r="C39" s="31" t="inlineStr">
        <is>
          <t>Battlefield Forge</t>
        </is>
      </c>
      <c r="D39" s="31" t="inlineStr">
        <is>
          <t>Land</t>
        </is>
      </c>
      <c r="E39" s="30" t="n">
        <v>0</v>
      </c>
      <c r="F39" s="30" t="n"/>
      <c r="G39" s="30" t="inlineStr">
        <is>
          <t>No</t>
        </is>
      </c>
      <c r="H39" s="32" t="n">
        <v>1.5</v>
      </c>
      <c r="I39" s="30" t="inlineStr">
        <is>
          <t>Owned</t>
        </is>
      </c>
      <c r="J39" s="31" t="inlineStr">
        <is>
          <t>Pain Land</t>
        </is>
      </c>
    </row>
    <row r="40" ht="16.5" customHeight="1" s="18">
      <c r="A40" s="30" t="n">
        <v>1</v>
      </c>
      <c r="B40" s="31" t="inlineStr">
        <is>
          <t>Lands</t>
        </is>
      </c>
      <c r="C40" s="31" t="inlineStr">
        <is>
          <t>Boros Garrison</t>
        </is>
      </c>
      <c r="D40" s="31" t="inlineStr">
        <is>
          <t>Land</t>
        </is>
      </c>
      <c r="E40" s="30" t="n">
        <v>0</v>
      </c>
      <c r="F40" s="30" t="n"/>
      <c r="G40" s="30" t="inlineStr">
        <is>
          <t>No</t>
        </is>
      </c>
      <c r="H40" s="32" t="n">
        <v>0.25</v>
      </c>
      <c r="I40" s="30" t="inlineStr">
        <is>
          <t>Owned</t>
        </is>
      </c>
      <c r="J40" s="31" t="inlineStr">
        <is>
          <t>Bounce Land</t>
        </is>
      </c>
    </row>
    <row r="41" ht="16.5" customHeight="1" s="18">
      <c r="A41" s="30" t="n">
        <v>1</v>
      </c>
      <c r="B41" s="31" t="inlineStr">
        <is>
          <t>Lands</t>
        </is>
      </c>
      <c r="C41" s="31" t="inlineStr">
        <is>
          <t>Cavern of Souls</t>
        </is>
      </c>
      <c r="D41" s="31" t="inlineStr">
        <is>
          <t>Land</t>
        </is>
      </c>
      <c r="E41" s="30" t="n">
        <v>0</v>
      </c>
      <c r="F41" s="30" t="n"/>
      <c r="G41" s="30" t="inlineStr">
        <is>
          <t>No</t>
        </is>
      </c>
      <c r="H41" s="32" t="n">
        <v>40</v>
      </c>
      <c r="I41" s="30" t="inlineStr">
        <is>
          <t>Owned</t>
        </is>
      </c>
      <c r="J41" s="31" t="n"/>
    </row>
    <row r="42" ht="16.5" customHeight="1" s="18">
      <c r="A42" s="30" t="n">
        <v>1</v>
      </c>
      <c r="B42" s="31" t="inlineStr">
        <is>
          <t>Lands</t>
        </is>
      </c>
      <c r="C42" s="31" t="inlineStr">
        <is>
          <t>Clifftop Retreat</t>
        </is>
      </c>
      <c r="D42" s="31" t="inlineStr">
        <is>
          <t>Land</t>
        </is>
      </c>
      <c r="E42" s="30" t="n">
        <v>0</v>
      </c>
      <c r="F42" s="30" t="n"/>
      <c r="G42" s="30" t="inlineStr">
        <is>
          <t>No</t>
        </is>
      </c>
      <c r="H42" s="32" t="n">
        <v>3.5</v>
      </c>
      <c r="I42" s="30" t="inlineStr">
        <is>
          <t>Owned</t>
        </is>
      </c>
      <c r="J42" s="31" t="inlineStr">
        <is>
          <t>Check Land</t>
        </is>
      </c>
    </row>
    <row r="43" ht="16.5" customHeight="1" s="18">
      <c r="A43" s="30" t="n">
        <v>1</v>
      </c>
      <c r="B43" s="31" t="inlineStr">
        <is>
          <t>Lands</t>
        </is>
      </c>
      <c r="C43" s="31" t="inlineStr">
        <is>
          <t>Command Tower</t>
        </is>
      </c>
      <c r="D43" s="31" t="inlineStr">
        <is>
          <t>Land</t>
        </is>
      </c>
      <c r="E43" s="30" t="n">
        <v>0</v>
      </c>
      <c r="F43" s="30" t="n"/>
      <c r="G43" s="30" t="inlineStr">
        <is>
          <t>No</t>
        </is>
      </c>
      <c r="H43" s="32" t="n">
        <v>0.25</v>
      </c>
      <c r="I43" s="30" t="inlineStr">
        <is>
          <t>Owned</t>
        </is>
      </c>
      <c r="J43" s="31" t="inlineStr">
        <is>
          <t>Multi-color Land</t>
        </is>
      </c>
    </row>
    <row r="44" ht="16.5" customHeight="1" s="18">
      <c r="A44" s="30" t="n">
        <v>1</v>
      </c>
      <c r="B44" s="31" t="inlineStr">
        <is>
          <t>Lands</t>
        </is>
      </c>
      <c r="C44" s="31" t="inlineStr">
        <is>
          <t>Elegant Parlor</t>
        </is>
      </c>
      <c r="D44" s="31" t="inlineStr">
        <is>
          <t>Land</t>
        </is>
      </c>
      <c r="E44" s="30" t="n">
        <v>0</v>
      </c>
      <c r="F44" s="30" t="n"/>
      <c r="G44" s="30" t="inlineStr">
        <is>
          <t>No</t>
        </is>
      </c>
      <c r="H44" s="32" t="n">
        <v>2.5</v>
      </c>
      <c r="I44" s="30" t="inlineStr">
        <is>
          <t>Owned</t>
        </is>
      </c>
      <c r="J44" s="31" t="inlineStr">
        <is>
          <t>Surveil Land</t>
        </is>
      </c>
    </row>
    <row r="45" ht="16.5" customHeight="1" s="18">
      <c r="A45" s="30" t="n">
        <v>1</v>
      </c>
      <c r="B45" s="31" t="inlineStr">
        <is>
          <t>Lands</t>
        </is>
      </c>
      <c r="C45" s="31" t="inlineStr">
        <is>
          <t>Fabled Passage</t>
        </is>
      </c>
      <c r="D45" s="31" t="inlineStr">
        <is>
          <t>Land</t>
        </is>
      </c>
      <c r="E45" s="30" t="n">
        <v>0</v>
      </c>
      <c r="F45" s="30" t="n"/>
      <c r="G45" s="30" t="inlineStr">
        <is>
          <t>No</t>
        </is>
      </c>
      <c r="H45" s="32" t="n">
        <v>6</v>
      </c>
      <c r="I45" s="30" t="inlineStr">
        <is>
          <t>Owned</t>
        </is>
      </c>
      <c r="J45" s="31" t="inlineStr">
        <is>
          <t>Fetch Land</t>
        </is>
      </c>
    </row>
    <row r="46" ht="16.5" customHeight="1" s="18">
      <c r="A46" s="30" t="n">
        <v>1</v>
      </c>
      <c r="B46" s="31" t="inlineStr">
        <is>
          <t>Lands</t>
        </is>
      </c>
      <c r="C46" s="31" t="inlineStr">
        <is>
          <t>Geier Reach Sanitarium</t>
        </is>
      </c>
      <c r="D46" s="31" t="inlineStr">
        <is>
          <t>Land</t>
        </is>
      </c>
      <c r="E46" s="30" t="n">
        <v>0</v>
      </c>
      <c r="F46" s="30" t="n"/>
      <c r="G46" s="30" t="inlineStr">
        <is>
          <t>No</t>
        </is>
      </c>
      <c r="H46" s="32" t="n">
        <v>1</v>
      </c>
      <c r="I46" s="30" t="inlineStr">
        <is>
          <t>Owned</t>
        </is>
      </c>
      <c r="J46" s="31" t="inlineStr">
        <is>
          <t>Symmetrical loot</t>
        </is>
      </c>
    </row>
    <row r="47" ht="16.5" customHeight="1" s="18">
      <c r="A47" s="30" t="n">
        <v>1</v>
      </c>
      <c r="B47" s="31" t="inlineStr">
        <is>
          <t>Lands</t>
        </is>
      </c>
      <c r="C47" s="31" t="inlineStr">
        <is>
          <t>Mikokoro, Center of the Sea</t>
        </is>
      </c>
      <c r="D47" s="31" t="inlineStr">
        <is>
          <t>Land</t>
        </is>
      </c>
      <c r="E47" s="30" t="n">
        <v>0</v>
      </c>
      <c r="F47" s="30" t="n"/>
      <c r="G47" s="30" t="inlineStr">
        <is>
          <t>No</t>
        </is>
      </c>
      <c r="H47" s="32" t="n">
        <v>3.5</v>
      </c>
      <c r="I47" s="30" t="inlineStr">
        <is>
          <t>Owned</t>
        </is>
      </c>
      <c r="J47" s="31" t="inlineStr">
        <is>
          <t>Symmetrical draw</t>
        </is>
      </c>
    </row>
    <row r="48" ht="16.5" customHeight="1" s="18">
      <c r="A48" s="30" t="n">
        <v>6</v>
      </c>
      <c r="B48" s="31" t="inlineStr">
        <is>
          <t>Lands</t>
        </is>
      </c>
      <c r="C48" s="31" t="inlineStr">
        <is>
          <t>Mountain</t>
        </is>
      </c>
      <c r="D48" s="31" t="inlineStr">
        <is>
          <t>Land</t>
        </is>
      </c>
      <c r="E48" s="30" t="n">
        <v>0</v>
      </c>
      <c r="F48" s="30" t="n"/>
      <c r="G48" s="30" t="inlineStr">
        <is>
          <t>No</t>
        </is>
      </c>
      <c r="H48" s="32" t="n">
        <v>0.1</v>
      </c>
      <c r="I48" s="30" t="inlineStr">
        <is>
          <t>Owned</t>
        </is>
      </c>
      <c r="J48" s="31" t="inlineStr">
        <is>
          <t>Basic Red</t>
        </is>
      </c>
    </row>
    <row r="49" ht="16.5" customHeight="1" s="18">
      <c r="A49" s="30" t="n">
        <v>1</v>
      </c>
      <c r="B49" s="31" t="inlineStr">
        <is>
          <t>Lands</t>
        </is>
      </c>
      <c r="C49" s="31" t="inlineStr">
        <is>
          <t>Needleverge Pathway</t>
        </is>
      </c>
      <c r="D49" s="31" t="inlineStr">
        <is>
          <t>Land</t>
        </is>
      </c>
      <c r="E49" s="30" t="n">
        <v>0</v>
      </c>
      <c r="F49" s="30" t="n"/>
      <c r="G49" s="30" t="inlineStr">
        <is>
          <t>No</t>
        </is>
      </c>
      <c r="H49" s="32" t="n">
        <v>4</v>
      </c>
      <c r="I49" s="30" t="inlineStr">
        <is>
          <t>Owned</t>
        </is>
      </c>
      <c r="J49" s="31" t="inlineStr">
        <is>
          <t>Pathway Land</t>
        </is>
      </c>
    </row>
    <row r="50" ht="16.5" customHeight="1" s="18">
      <c r="A50" s="30" t="n">
        <v>6</v>
      </c>
      <c r="B50" s="31" t="inlineStr">
        <is>
          <t>Lands</t>
        </is>
      </c>
      <c r="C50" s="31" t="inlineStr">
        <is>
          <t>Plains</t>
        </is>
      </c>
      <c r="D50" s="31" t="inlineStr">
        <is>
          <t>Land</t>
        </is>
      </c>
      <c r="E50" s="30" t="n">
        <v>0</v>
      </c>
      <c r="F50" s="30" t="n"/>
      <c r="G50" s="30" t="inlineStr">
        <is>
          <t>No</t>
        </is>
      </c>
      <c r="H50" s="32" t="n">
        <v>0.1</v>
      </c>
      <c r="I50" s="30" t="inlineStr">
        <is>
          <t>Owned</t>
        </is>
      </c>
      <c r="J50" s="31" t="inlineStr">
        <is>
          <t>Basic White</t>
        </is>
      </c>
    </row>
    <row r="51" ht="16.5" customHeight="1" s="18">
      <c r="A51" s="30" t="n">
        <v>1</v>
      </c>
      <c r="B51" s="31" t="inlineStr">
        <is>
          <t>Lands</t>
        </is>
      </c>
      <c r="C51" s="31" t="inlineStr">
        <is>
          <t>Plaza of Heroes</t>
        </is>
      </c>
      <c r="D51" s="31" t="inlineStr">
        <is>
          <t>Land</t>
        </is>
      </c>
      <c r="E51" s="30" t="n">
        <v>0</v>
      </c>
      <c r="F51" s="30" t="n"/>
      <c r="G51" s="30" t="inlineStr">
        <is>
          <t>No</t>
        </is>
      </c>
      <c r="H51" s="32" t="n">
        <v>7</v>
      </c>
      <c r="I51" s="30" t="inlineStr">
        <is>
          <t>Owned</t>
        </is>
      </c>
      <c r="J51" s="31" t="inlineStr">
        <is>
          <t>Commander protection</t>
        </is>
      </c>
    </row>
    <row r="52" ht="16.5" customHeight="1" s="18">
      <c r="A52" s="30" t="n">
        <v>1</v>
      </c>
      <c r="B52" s="31" t="inlineStr">
        <is>
          <t>Lands</t>
        </is>
      </c>
      <c r="C52" s="31" t="inlineStr">
        <is>
          <t>Prismatic Vista</t>
        </is>
      </c>
      <c r="D52" s="31" t="inlineStr">
        <is>
          <t>Land</t>
        </is>
      </c>
      <c r="E52" s="30" t="n">
        <v>0</v>
      </c>
      <c r="F52" s="30" t="n"/>
      <c r="G52" s="30" t="inlineStr">
        <is>
          <t>No</t>
        </is>
      </c>
      <c r="H52" s="32" t="n">
        <v>26</v>
      </c>
      <c r="I52" s="30" t="inlineStr">
        <is>
          <t>Owned</t>
        </is>
      </c>
      <c r="J52" s="31" t="inlineStr">
        <is>
          <t>Fetch Land</t>
        </is>
      </c>
    </row>
    <row r="53" ht="16.5" customHeight="1" s="18">
      <c r="A53" s="30" t="n">
        <v>1</v>
      </c>
      <c r="B53" s="31" t="inlineStr">
        <is>
          <t>Lands</t>
        </is>
      </c>
      <c r="C53" s="31" t="inlineStr">
        <is>
          <t>Reliquary Tower</t>
        </is>
      </c>
      <c r="D53" s="31" t="inlineStr">
        <is>
          <t>Land</t>
        </is>
      </c>
      <c r="E53" s="30" t="n">
        <v>0</v>
      </c>
      <c r="F53" s="30" t="n"/>
      <c r="G53" s="30" t="inlineStr">
        <is>
          <t>Yes</t>
        </is>
      </c>
      <c r="H53" s="32" t="n">
        <v>2.5</v>
      </c>
      <c r="I53" s="30" t="inlineStr">
        <is>
          <t>Owned</t>
        </is>
      </c>
      <c r="J53" s="31" t="inlineStr">
        <is>
          <t>No max hand size</t>
        </is>
      </c>
    </row>
    <row r="54" ht="16.5" customHeight="1" s="18">
      <c r="A54" s="30" t="n">
        <v>1</v>
      </c>
      <c r="B54" s="31" t="inlineStr">
        <is>
          <t>Lands</t>
        </is>
      </c>
      <c r="C54" s="31" t="inlineStr">
        <is>
          <t>Rugged Prairie</t>
        </is>
      </c>
      <c r="D54" s="31" t="inlineStr">
        <is>
          <t>Land</t>
        </is>
      </c>
      <c r="E54" s="30" t="n">
        <v>0</v>
      </c>
      <c r="F54" s="30" t="n"/>
      <c r="G54" s="30" t="inlineStr">
        <is>
          <t>No</t>
        </is>
      </c>
      <c r="H54" s="32" t="n">
        <v>4</v>
      </c>
      <c r="I54" s="30" t="inlineStr">
        <is>
          <t>Owned</t>
        </is>
      </c>
      <c r="J54" s="31" t="inlineStr">
        <is>
          <t>Filter Land</t>
        </is>
      </c>
    </row>
    <row r="55" ht="16.5" customHeight="1" s="18">
      <c r="A55" s="30" t="n">
        <v>1</v>
      </c>
      <c r="B55" s="31" t="inlineStr">
        <is>
          <t>Lands</t>
        </is>
      </c>
      <c r="C55" s="31" t="inlineStr">
        <is>
          <t>Slayers' Stronghold</t>
        </is>
      </c>
      <c r="D55" s="31" t="inlineStr">
        <is>
          <t>Land</t>
        </is>
      </c>
      <c r="E55" s="30" t="n">
        <v>0</v>
      </c>
      <c r="F55" s="30" t="n"/>
      <c r="G55" s="30" t="inlineStr">
        <is>
          <t>No</t>
        </is>
      </c>
      <c r="H55" s="32" t="n">
        <v>0.5</v>
      </c>
      <c r="I55" s="30" t="inlineStr">
        <is>
          <t>Owned</t>
        </is>
      </c>
      <c r="J55" s="31" t="inlineStr">
        <is>
          <t>Utility haste/vigilance</t>
        </is>
      </c>
    </row>
    <row r="56" ht="16.5" customHeight="1" s="18">
      <c r="A56" s="30" t="n">
        <v>1</v>
      </c>
      <c r="B56" s="31" t="inlineStr">
        <is>
          <t>Lands</t>
        </is>
      </c>
      <c r="C56" s="31" t="inlineStr">
        <is>
          <t>Sunbaked Canyon</t>
        </is>
      </c>
      <c r="D56" s="31" t="inlineStr">
        <is>
          <t>Land</t>
        </is>
      </c>
      <c r="E56" s="30" t="n">
        <v>0</v>
      </c>
      <c r="F56" s="30" t="n"/>
      <c r="G56" s="30" t="inlineStr">
        <is>
          <t>No</t>
        </is>
      </c>
      <c r="H56" s="32" t="n">
        <v>13</v>
      </c>
      <c r="I56" s="30" t="inlineStr">
        <is>
          <t>Owned</t>
        </is>
      </c>
      <c r="J56" s="31" t="inlineStr">
        <is>
          <t>Horizon Land</t>
        </is>
      </c>
    </row>
    <row r="57" ht="16.5" customHeight="1" s="18">
      <c r="A57" s="30" t="n">
        <v>1</v>
      </c>
      <c r="B57" s="31" t="inlineStr">
        <is>
          <t>Lands</t>
        </is>
      </c>
      <c r="C57" s="31" t="inlineStr">
        <is>
          <t>Sundown Pass</t>
        </is>
      </c>
      <c r="D57" s="31" t="inlineStr">
        <is>
          <t>Land</t>
        </is>
      </c>
      <c r="E57" s="30" t="n">
        <v>0</v>
      </c>
      <c r="F57" s="30" t="n"/>
      <c r="G57" s="30" t="inlineStr">
        <is>
          <t>No</t>
        </is>
      </c>
      <c r="H57" s="32" t="n">
        <v>3</v>
      </c>
      <c r="I57" s="30" t="inlineStr">
        <is>
          <t>Owned</t>
        </is>
      </c>
      <c r="J57" s="31" t="inlineStr">
        <is>
          <t>Slow Land</t>
        </is>
      </c>
    </row>
    <row r="58" ht="16.5" customHeight="1" s="18">
      <c r="A58" s="30" t="n">
        <v>1</v>
      </c>
      <c r="B58" s="31" t="inlineStr">
        <is>
          <t>Lands</t>
        </is>
      </c>
      <c r="C58" s="31" t="inlineStr">
        <is>
          <t>Sunhome, Fortress of the Legion</t>
        </is>
      </c>
      <c r="D58" s="31" t="inlineStr">
        <is>
          <t>Land</t>
        </is>
      </c>
      <c r="E58" s="30" t="n">
        <v>0</v>
      </c>
      <c r="F58" s="30" t="n"/>
      <c r="G58" s="30" t="inlineStr">
        <is>
          <t>No</t>
        </is>
      </c>
      <c r="H58" s="32" t="n">
        <v>0.25</v>
      </c>
      <c r="I58" s="30" t="inlineStr">
        <is>
          <t>Owned</t>
        </is>
      </c>
      <c r="J58" s="31" t="inlineStr">
        <is>
          <t>Utility double strike</t>
        </is>
      </c>
    </row>
    <row r="59" ht="16.5" customHeight="1" s="18">
      <c r="A59" s="30" t="n">
        <v>1</v>
      </c>
      <c r="B59" s="31" t="inlineStr">
        <is>
          <t>Lands</t>
        </is>
      </c>
      <c r="C59" s="31" t="inlineStr">
        <is>
          <t>Temple of Triumph</t>
        </is>
      </c>
      <c r="D59" s="31" t="inlineStr">
        <is>
          <t>Land</t>
        </is>
      </c>
      <c r="E59" s="30" t="n">
        <v>0</v>
      </c>
      <c r="F59" s="30" t="n"/>
      <c r="G59" s="30" t="inlineStr">
        <is>
          <t>No</t>
        </is>
      </c>
      <c r="H59" s="32" t="n">
        <v>0.25</v>
      </c>
      <c r="I59" s="30" t="inlineStr">
        <is>
          <t>Owned</t>
        </is>
      </c>
      <c r="J59" s="31" t="inlineStr">
        <is>
          <t>Scry Land</t>
        </is>
      </c>
    </row>
    <row r="60" ht="16.5" customHeight="1" s="18">
      <c r="A60" s="30" t="n">
        <v>1</v>
      </c>
      <c r="B60" s="31" t="inlineStr">
        <is>
          <t>Massive Haymakers</t>
        </is>
      </c>
      <c r="C60" s="31" t="inlineStr">
        <is>
          <t>Approach of the Second Sun</t>
        </is>
      </c>
      <c r="D60" s="31" t="inlineStr">
        <is>
          <t>Sorcery</t>
        </is>
      </c>
      <c r="E60" s="30" t="n">
        <v>7</v>
      </c>
      <c r="F60" s="30" t="n">
        <v>2</v>
      </c>
      <c r="G60" s="30" t="inlineStr">
        <is>
          <t>No</t>
        </is>
      </c>
      <c r="H60" s="32" t="n">
        <v>1.5</v>
      </c>
      <c r="I60" s="30" t="inlineStr">
        <is>
          <t>Owned</t>
        </is>
      </c>
      <c r="J60" s="31" t="inlineStr">
        <is>
          <t>Alternate win condition.</t>
        </is>
      </c>
    </row>
    <row r="61" ht="16.5" customHeight="1" s="18">
      <c r="A61" s="30" t="n">
        <v>1</v>
      </c>
      <c r="B61" s="31" t="inlineStr">
        <is>
          <t>Massive Haymakers</t>
        </is>
      </c>
      <c r="C61" s="31" t="inlineStr">
        <is>
          <t>Blasphemous Act</t>
        </is>
      </c>
      <c r="D61" s="31" t="inlineStr">
        <is>
          <t>Sorcery</t>
        </is>
      </c>
      <c r="E61" s="30" t="n">
        <v>9</v>
      </c>
      <c r="F61" s="30" t="n">
        <v>2</v>
      </c>
      <c r="G61" s="30" t="inlineStr">
        <is>
          <t>No</t>
        </is>
      </c>
      <c r="H61" s="32" t="n">
        <v>3</v>
      </c>
      <c r="I61" s="30" t="inlineStr">
        <is>
          <t>Owned</t>
        </is>
      </c>
      <c r="J61" s="31" t="inlineStr">
        <is>
          <t>Ultra-cheap board wipe.</t>
        </is>
      </c>
    </row>
    <row r="62" ht="16.5" customHeight="1" s="18">
      <c r="A62" s="30" t="n">
        <v>1</v>
      </c>
      <c r="B62" s="31" t="inlineStr">
        <is>
          <t>Interaction &amp; Protection</t>
        </is>
      </c>
      <c r="C62" s="31" t="inlineStr">
        <is>
          <t>Borrowed Knowledge</t>
        </is>
      </c>
      <c r="D62" s="31" t="inlineStr">
        <is>
          <t>Sorcery</t>
        </is>
      </c>
      <c r="E62" s="30" t="n">
        <v>4</v>
      </c>
      <c r="F62" s="30" t="n"/>
      <c r="G62" s="30" t="inlineStr">
        <is>
          <t>No</t>
        </is>
      </c>
      <c r="H62" s="32" t="n">
        <v>0.5</v>
      </c>
      <c r="I62" s="30" t="inlineStr">
        <is>
          <t>Owned</t>
        </is>
      </c>
      <c r="J62" s="31" t="inlineStr">
        <is>
          <t>Hand cycling.</t>
        </is>
      </c>
    </row>
    <row r="63" ht="16.5" customHeight="1" s="18">
      <c r="A63" s="30" t="n">
        <v>1</v>
      </c>
      <c r="B63" s="31" t="inlineStr">
        <is>
          <t>Lands / Spells</t>
        </is>
      </c>
      <c r="C63" s="31" t="inlineStr">
        <is>
          <t>Emeria's Call</t>
        </is>
      </c>
      <c r="D63" s="31" t="inlineStr">
        <is>
          <t>Sorcery</t>
        </is>
      </c>
      <c r="E63" s="30" t="n">
        <v>7</v>
      </c>
      <c r="F63" s="30" t="n"/>
      <c r="G63" s="30" t="inlineStr">
        <is>
          <t>Yes</t>
        </is>
      </c>
      <c r="H63" s="32" t="n">
        <v>7</v>
      </c>
      <c r="I63" s="30" t="inlineStr">
        <is>
          <t>Owned</t>
        </is>
      </c>
      <c r="J63" s="31" t="inlineStr">
        <is>
          <t>MDFC land / High-MV spell flip.</t>
        </is>
      </c>
    </row>
    <row r="64" ht="16.5" customHeight="1" s="18">
      <c r="A64" s="30" t="n">
        <v>1</v>
      </c>
      <c r="B64" s="31" t="inlineStr">
        <is>
          <t>Interaction &amp; Protection</t>
        </is>
      </c>
      <c r="C64" s="31" t="inlineStr">
        <is>
          <t>Faithless Looting</t>
        </is>
      </c>
      <c r="D64" s="31" t="inlineStr">
        <is>
          <t>Sorcery</t>
        </is>
      </c>
      <c r="E64" s="30" t="n">
        <v>1</v>
      </c>
      <c r="F64" s="30" t="n"/>
      <c r="G64" s="30" t="inlineStr">
        <is>
          <t>No</t>
        </is>
      </c>
      <c r="H64" s="32" t="n">
        <v>0.5</v>
      </c>
      <c r="I64" s="30" t="inlineStr">
        <is>
          <t>Owned</t>
        </is>
      </c>
      <c r="J64" s="31" t="inlineStr">
        <is>
          <t>Classic filtering.</t>
        </is>
      </c>
    </row>
    <row r="65" ht="16.5" customHeight="1" s="18">
      <c r="A65" s="30" t="n">
        <v>1</v>
      </c>
      <c r="B65" s="31" t="inlineStr">
        <is>
          <t>Interaction &amp; Protection</t>
        </is>
      </c>
      <c r="C65" s="31" t="inlineStr">
        <is>
          <t>Gamble</t>
        </is>
      </c>
      <c r="D65" s="31" t="inlineStr">
        <is>
          <t>Sorcery</t>
        </is>
      </c>
      <c r="E65" s="30" t="n">
        <v>1</v>
      </c>
      <c r="F65" s="30" t="n"/>
      <c r="G65" s="30" t="inlineStr">
        <is>
          <t>No</t>
        </is>
      </c>
      <c r="H65" s="32" t="n">
        <v>4</v>
      </c>
      <c r="I65" s="30" t="inlineStr">
        <is>
          <t>Owned</t>
        </is>
      </c>
      <c r="J65" s="31" t="inlineStr">
        <is>
          <t>High-risk tutor.</t>
        </is>
      </c>
    </row>
    <row r="66" ht="16.5" customHeight="1" s="18">
      <c r="A66" s="30" t="n">
        <v>1</v>
      </c>
      <c r="B66" s="31" t="inlineStr">
        <is>
          <t>Massive Haymakers</t>
        </is>
      </c>
      <c r="C66" s="31" t="inlineStr">
        <is>
          <t>Hit the Mother Lode</t>
        </is>
      </c>
      <c r="D66" s="31" t="inlineStr">
        <is>
          <t>Sorcery</t>
        </is>
      </c>
      <c r="E66" s="30" t="n">
        <v>7</v>
      </c>
      <c r="F66" s="30" t="n"/>
      <c r="G66" s="30" t="inlineStr">
        <is>
          <t>Yes</t>
        </is>
      </c>
      <c r="H66" s="32" t="n">
        <v>0.4</v>
      </c>
      <c r="I66" s="30" t="inlineStr">
        <is>
          <t>Owned</t>
        </is>
      </c>
      <c r="J66" s="31" t="inlineStr">
        <is>
          <t>High-MV flip &amp; treasure cascade.</t>
        </is>
      </c>
    </row>
    <row r="67" ht="16.5" customHeight="1" s="18">
      <c r="A67" s="30" t="n">
        <v>1</v>
      </c>
      <c r="B67" s="31" t="inlineStr">
        <is>
          <t>Massive Haymakers</t>
        </is>
      </c>
      <c r="C67" s="31" t="inlineStr">
        <is>
          <t>Improvisation Capstone</t>
        </is>
      </c>
      <c r="D67" s="31" t="inlineStr">
        <is>
          <t>Sorcery</t>
        </is>
      </c>
      <c r="E67" s="30" t="n">
        <v>7</v>
      </c>
      <c r="F67" s="30" t="n">
        <v>2</v>
      </c>
      <c r="G67" s="30" t="inlineStr">
        <is>
          <t>No</t>
        </is>
      </c>
      <c r="H67" s="32" t="n">
        <v>15.5</v>
      </c>
      <c r="I67" s="30" t="inlineStr">
        <is>
          <t>Owned</t>
        </is>
      </c>
      <c r="J67" s="31" t="inlineStr">
        <is>
          <t>Spell recursion.</t>
        </is>
      </c>
    </row>
    <row r="68" ht="16.5" customHeight="1" s="18">
      <c r="A68" s="30" t="n">
        <v>1</v>
      </c>
      <c r="B68" s="31" t="inlineStr">
        <is>
          <t>Lands / Spells</t>
        </is>
      </c>
      <c r="C68" s="31" t="inlineStr">
        <is>
          <t>Ondu Inversion</t>
        </is>
      </c>
      <c r="D68" s="31" t="inlineStr">
        <is>
          <t>Sorcery</t>
        </is>
      </c>
      <c r="E68" s="30" t="n">
        <v>8</v>
      </c>
      <c r="F68" s="30" t="n"/>
      <c r="G68" s="30" t="inlineStr">
        <is>
          <t>Yes</t>
        </is>
      </c>
      <c r="H68" s="32" t="n">
        <v>1</v>
      </c>
      <c r="I68" s="30" t="inlineStr">
        <is>
          <t>Owned</t>
        </is>
      </c>
      <c r="J68" s="31" t="inlineStr">
        <is>
          <t>MDFC board wipe.</t>
        </is>
      </c>
    </row>
    <row r="69" ht="16.5" customHeight="1" s="18">
      <c r="A69" s="30" t="n">
        <v>1</v>
      </c>
      <c r="B69" s="31" t="inlineStr">
        <is>
          <t>Interaction &amp; Protection</t>
        </is>
      </c>
      <c r="C69" s="31" t="inlineStr">
        <is>
          <t>Olórin's Searing Light</t>
        </is>
      </c>
      <c r="D69" s="31" t="inlineStr">
        <is>
          <t>Instant</t>
        </is>
      </c>
      <c r="E69" s="30" t="n">
        <v>4</v>
      </c>
      <c r="F69" s="30" t="n"/>
      <c r="G69" s="30" t="inlineStr">
        <is>
          <t>No</t>
        </is>
      </c>
      <c r="H69" s="32" t="n">
        <v>2.5</v>
      </c>
      <c r="I69" s="30" t="inlineStr">
        <is>
          <t>Owned</t>
        </is>
      </c>
      <c r="J69" s="31" t="inlineStr">
        <is>
          <t>Asymmetrical miracle wipe.</t>
        </is>
      </c>
    </row>
    <row r="70" ht="16.5" customHeight="1" s="18">
      <c r="A70" s="30" t="n">
        <v>1</v>
      </c>
      <c r="B70" s="31" t="inlineStr">
        <is>
          <t>Massive Haymakers</t>
        </is>
      </c>
      <c r="C70" s="31" t="inlineStr">
        <is>
          <t>Promise of Loyalty</t>
        </is>
      </c>
      <c r="D70" s="31" t="inlineStr">
        <is>
          <t>Sorcery</t>
        </is>
      </c>
      <c r="E70" s="30" t="n">
        <v>5</v>
      </c>
      <c r="F70" s="30" t="n"/>
      <c r="G70" s="30" t="inlineStr">
        <is>
          <t>No</t>
        </is>
      </c>
      <c r="H70" s="32" t="n">
        <v>0.5</v>
      </c>
      <c r="I70" s="30" t="inlineStr">
        <is>
          <t>Owned</t>
        </is>
      </c>
      <c r="J70" s="31" t="inlineStr">
        <is>
          <t>Board wipe.</t>
        </is>
      </c>
    </row>
    <row r="71" ht="16.5" customHeight="1" s="18">
      <c r="A71" s="30" t="n">
        <v>1</v>
      </c>
      <c r="B71" s="31" t="inlineStr">
        <is>
          <t>Massive Haymakers</t>
        </is>
      </c>
      <c r="C71" s="31" t="inlineStr">
        <is>
          <t>Reforge the Soul</t>
        </is>
      </c>
      <c r="D71" s="31" t="inlineStr">
        <is>
          <t>Sorcery</t>
        </is>
      </c>
      <c r="E71" s="30" t="n">
        <v>5</v>
      </c>
      <c r="F71" s="30" t="n">
        <v>2</v>
      </c>
      <c r="G71" s="30" t="inlineStr">
        <is>
          <t>No</t>
        </is>
      </c>
      <c r="H71" s="32" t="n">
        <v>4</v>
      </c>
      <c r="I71" s="30" t="inlineStr">
        <is>
          <t>Owned</t>
        </is>
      </c>
      <c r="J71" s="31" t="inlineStr">
        <is>
          <t>Refills hand, forces discard.</t>
        </is>
      </c>
    </row>
    <row r="72" ht="16.5" customHeight="1" s="18">
      <c r="A72" s="30" t="n">
        <v>1</v>
      </c>
      <c r="B72" s="31" t="inlineStr">
        <is>
          <t>Massive Haymakers</t>
        </is>
      </c>
      <c r="C72" s="31" t="inlineStr">
        <is>
          <t>Restoration Seminar</t>
        </is>
      </c>
      <c r="D72" s="31" t="inlineStr">
        <is>
          <t>Sorcery</t>
        </is>
      </c>
      <c r="E72" s="30" t="n">
        <v>7</v>
      </c>
      <c r="F72" s="30" t="n">
        <v>2</v>
      </c>
      <c r="G72" s="30" t="inlineStr">
        <is>
          <t>Yes</t>
        </is>
      </c>
      <c r="H72" s="32" t="n">
        <v>4.9</v>
      </c>
      <c r="I72" s="30" t="inlineStr">
        <is>
          <t>Owned</t>
        </is>
      </c>
      <c r="J72" s="31" t="inlineStr">
        <is>
          <t>Returns permanants to battlefield.</t>
        </is>
      </c>
    </row>
    <row r="73" ht="16.5" customHeight="1" s="18">
      <c r="A73" s="30" t="n">
        <v>1</v>
      </c>
      <c r="B73" s="31" t="inlineStr">
        <is>
          <t>Massive Haymakers</t>
        </is>
      </c>
      <c r="C73" s="31" t="inlineStr">
        <is>
          <t>Storm Herd</t>
        </is>
      </c>
      <c r="D73" s="31" t="inlineStr">
        <is>
          <t>Sorcery</t>
        </is>
      </c>
      <c r="E73" s="30" t="n">
        <v>10</v>
      </c>
      <c r="F73" s="30" t="n">
        <v>2</v>
      </c>
      <c r="G73" s="30" t="inlineStr">
        <is>
          <t>No</t>
        </is>
      </c>
      <c r="H73" s="32" t="n">
        <v>1</v>
      </c>
      <c r="I73" s="30" t="inlineStr">
        <is>
          <t>Owned</t>
        </is>
      </c>
      <c r="J73" s="31" t="inlineStr">
        <is>
          <t>Army of 1/1 Pegasi equal to life total.</t>
        </is>
      </c>
    </row>
    <row r="74" ht="16.5" customHeight="1" s="18">
      <c r="A74" s="30" t="n">
        <v>1</v>
      </c>
      <c r="B74" s="31" t="inlineStr">
        <is>
          <t>Massive Haymakers</t>
        </is>
      </c>
      <c r="C74" s="31" t="inlineStr">
        <is>
          <t>Ultima</t>
        </is>
      </c>
      <c r="D74" s="31" t="inlineStr">
        <is>
          <t>Sorcery</t>
        </is>
      </c>
      <c r="E74" s="30" t="n">
        <v>5</v>
      </c>
      <c r="F74" s="30" t="n">
        <v>2</v>
      </c>
      <c r="G74" s="30" t="inlineStr">
        <is>
          <t>Yes</t>
        </is>
      </c>
      <c r="H74" s="32" t="n">
        <v>3</v>
      </c>
      <c r="I74" s="30" t="inlineStr">
        <is>
          <t>Owned</t>
        </is>
      </c>
      <c r="J74" s="31" t="inlineStr">
        <is>
          <t>Wipe that ends the turn. Skips opponent turn if miracled.</t>
        </is>
      </c>
    </row>
    <row r="75" ht="16.5" customHeight="1" s="18">
      <c r="A75" s="30" t="n">
        <v>1</v>
      </c>
      <c r="B75" s="31" t="inlineStr">
        <is>
          <t>Massive Haymakers</t>
        </is>
      </c>
      <c r="C75" s="31" t="inlineStr">
        <is>
          <t>Volcanic Vision</t>
        </is>
      </c>
      <c r="D75" s="31" t="inlineStr">
        <is>
          <t>Sorcery</t>
        </is>
      </c>
      <c r="E75" s="30" t="n">
        <v>7</v>
      </c>
      <c r="F75" s="30" t="n">
        <v>2</v>
      </c>
      <c r="G75" s="30" t="inlineStr">
        <is>
          <t>No</t>
        </is>
      </c>
      <c r="H75" s="32" t="n">
        <v>0.5</v>
      </c>
      <c r="I75" s="30" t="inlineStr">
        <is>
          <t>Owned</t>
        </is>
      </c>
      <c r="J75" s="31" t="inlineStr">
        <is>
          <t>Returns spell and deals MV damage.</t>
        </is>
      </c>
    </row>
    <row r="76" ht="16.5" customHeight="1" s="18">
      <c r="A76" s="30" t="n">
        <v>1</v>
      </c>
      <c r="B76" s="31" t="inlineStr">
        <is>
          <t>Interaction &amp; Protection</t>
        </is>
      </c>
      <c r="C76" s="31" t="inlineStr">
        <is>
          <t>Lightning Greaves</t>
        </is>
      </c>
      <c r="D76" s="31" t="inlineStr">
        <is>
          <t>Artifact</t>
        </is>
      </c>
      <c r="E76" s="30" t="n">
        <v>2</v>
      </c>
      <c r="F76" s="30" t="n"/>
      <c r="G76" s="30" t="inlineStr">
        <is>
          <t>Yes</t>
        </is>
      </c>
      <c r="H76" s="32" t="n">
        <v>5</v>
      </c>
      <c r="I76" s="30" t="inlineStr">
        <is>
          <t>Owned</t>
        </is>
      </c>
      <c r="J76" s="31" t="inlineStr">
        <is>
          <t>Commander protection.</t>
        </is>
      </c>
    </row>
    <row r="77" ht="16.5" customHeight="1" s="18">
      <c r="A77" s="30" t="n">
        <v>1</v>
      </c>
      <c r="B77" s="31" t="inlineStr">
        <is>
          <t>Interaction &amp; Protection</t>
        </is>
      </c>
      <c r="C77" s="31" t="inlineStr">
        <is>
          <t>Mother of Runes</t>
        </is>
      </c>
      <c r="D77" s="31" t="inlineStr">
        <is>
          <t>Creature</t>
        </is>
      </c>
      <c r="E77" s="30" t="n">
        <v>1</v>
      </c>
      <c r="F77" s="30" t="n"/>
      <c r="G77" s="30" t="inlineStr">
        <is>
          <t>Yes</t>
        </is>
      </c>
      <c r="H77" s="32" t="n">
        <v>2</v>
      </c>
      <c r="I77" s="30" t="inlineStr">
        <is>
          <t>Owned</t>
        </is>
      </c>
      <c r="J77" s="31" t="inlineStr">
        <is>
          <t>Taps to give protection from a color. Top-tier commander protection.</t>
        </is>
      </c>
    </row>
    <row r="78" ht="16.5" customHeight="1" s="18">
      <c r="A78" s="30" t="n">
        <v>1</v>
      </c>
      <c r="B78" s="31" t="inlineStr">
        <is>
          <t>Mana Accelerants</t>
        </is>
      </c>
      <c r="C78" s="31" t="inlineStr">
        <is>
          <t>Land Tax</t>
        </is>
      </c>
      <c r="D78" s="31" t="inlineStr">
        <is>
          <t>Enchantment</t>
        </is>
      </c>
      <c r="E78" s="30" t="n">
        <v>1</v>
      </c>
      <c r="F78" s="30" t="n"/>
      <c r="G78" s="30" t="inlineStr">
        <is>
          <t>Yes</t>
        </is>
      </c>
      <c r="H78" s="32" t="n">
        <v>10</v>
      </c>
      <c r="I78" s="30" t="inlineStr">
        <is>
          <t>Owned</t>
        </is>
      </c>
      <c r="J78" s="31" t="inlineStr">
        <is>
          <t>Fetches Plains to hand each turn you have fewer lands than an opponent.</t>
        </is>
      </c>
    </row>
    <row r="79" ht="16.5" customHeight="1" s="18">
      <c r="A79" s="30" t="n">
        <v>1</v>
      </c>
      <c r="B79" s="31" t="inlineStr">
        <is>
          <t>Interaction &amp; Protection</t>
        </is>
      </c>
      <c r="C79" s="31" t="inlineStr">
        <is>
          <t>Enlightened Tutor</t>
        </is>
      </c>
      <c r="D79" s="31" t="inlineStr">
        <is>
          <t>Instant</t>
        </is>
      </c>
      <c r="E79" s="30" t="n">
        <v>1</v>
      </c>
      <c r="F79" s="30" t="n"/>
      <c r="G79" s="30" t="inlineStr">
        <is>
          <t>Yes</t>
        </is>
      </c>
      <c r="H79" s="32" t="n">
        <v>24</v>
      </c>
      <c r="I79" s="30" t="inlineStr">
        <is>
          <t>Owned</t>
        </is>
      </c>
      <c r="J79" s="31" t="inlineStr">
        <is>
          <t>Searches Library of Leng/Scroll Rack.</t>
        </is>
      </c>
    </row>
    <row r="80" ht="16.5" customHeight="1" s="18">
      <c r="A80" s="30" t="n">
        <v>1</v>
      </c>
      <c r="B80" s="31" t="inlineStr">
        <is>
          <t>Massive Haymakers</t>
        </is>
      </c>
      <c r="C80" s="31" t="inlineStr">
        <is>
          <t>Farewell</t>
        </is>
      </c>
      <c r="D80" s="31" t="inlineStr">
        <is>
          <t>Sorcery</t>
        </is>
      </c>
      <c r="E80" s="30" t="n">
        <v>6</v>
      </c>
      <c r="F80" s="30" t="n">
        <v>2</v>
      </c>
      <c r="G80" s="30" t="inlineStr">
        <is>
          <t>Yes</t>
        </is>
      </c>
      <c r="H80" s="32" t="n">
        <v>11</v>
      </c>
      <c r="I80" s="30" t="inlineStr">
        <is>
          <t>Owned</t>
        </is>
      </c>
      <c r="J80" s="31" t="inlineStr">
        <is>
          <t>Premier modal board wipe exiler.</t>
        </is>
      </c>
    </row>
    <row r="81" ht="16.5" customHeight="1" s="18">
      <c r="A81" s="30" t="n">
        <v>1</v>
      </c>
      <c r="B81" s="31" t="inlineStr">
        <is>
          <t>Top-Deck Engines</t>
        </is>
      </c>
      <c r="C81" s="31" t="inlineStr">
        <is>
          <t>Monument to Endurance</t>
        </is>
      </c>
      <c r="D81" s="31" t="inlineStr">
        <is>
          <t>Artifact</t>
        </is>
      </c>
      <c r="E81" s="30" t="n">
        <v>3</v>
      </c>
      <c r="F81" s="30" t="n"/>
      <c r="G81" s="30" t="inlineStr">
        <is>
          <t>No</t>
        </is>
      </c>
      <c r="H81" s="32" t="n">
        <v>0.5</v>
      </c>
      <c r="I81" s="30" t="inlineStr">
        <is>
          <t>Proxy</t>
        </is>
      </c>
      <c r="J81" s="31" t="inlineStr">
        <is>
          <t>Discard triggers for draw/treasures.</t>
        </is>
      </c>
    </row>
    <row r="82" ht="16.5" customHeight="1" s="18">
      <c r="A82" s="30" t="n">
        <v>1</v>
      </c>
      <c r="B82" s="31" t="inlineStr">
        <is>
          <t>Mana Accelerants</t>
        </is>
      </c>
      <c r="C82" s="31" t="inlineStr">
        <is>
          <t>Ruby Medallion</t>
        </is>
      </c>
      <c r="D82" s="31" t="inlineStr">
        <is>
          <t>Artifact</t>
        </is>
      </c>
      <c r="E82" s="30" t="n">
        <v>2</v>
      </c>
      <c r="F82" s="30" t="n"/>
      <c r="G82" s="30" t="inlineStr">
        <is>
          <t>Yes</t>
        </is>
      </c>
      <c r="H82" s="32" t="n">
        <v>5</v>
      </c>
      <c r="I82" s="30" t="inlineStr">
        <is>
          <t>Proxy</t>
        </is>
      </c>
      <c r="J82" s="31" t="inlineStr">
        <is>
          <t>Cost reduction.</t>
        </is>
      </c>
    </row>
    <row r="83" ht="16.5" customHeight="1" s="18">
      <c r="A83" s="30" t="n">
        <v>1</v>
      </c>
      <c r="B83" s="31" t="inlineStr">
        <is>
          <t>Interaction &amp; Protection</t>
        </is>
      </c>
      <c r="C83" s="31" t="inlineStr">
        <is>
          <t>Hexing Squelcher</t>
        </is>
      </c>
      <c r="D83" s="31" t="inlineStr">
        <is>
          <t>Creature</t>
        </is>
      </c>
      <c r="E83" s="30" t="n">
        <v>2</v>
      </c>
      <c r="F83" s="30" t="n"/>
      <c r="G83" s="30" t="inlineStr">
        <is>
          <t>No</t>
        </is>
      </c>
      <c r="H83" s="32" t="n">
        <v>0.5</v>
      </c>
      <c r="I83" s="30" t="inlineStr">
        <is>
          <t>Proxy</t>
        </is>
      </c>
      <c r="J83" s="31" t="inlineStr">
        <is>
          <t>Interaction piece.</t>
        </is>
      </c>
    </row>
    <row r="84" ht="16.5" customHeight="1" s="18">
      <c r="A84" s="30" t="n">
        <v>1</v>
      </c>
      <c r="B84" s="31" t="inlineStr">
        <is>
          <t>Top-Deck Engines</t>
        </is>
      </c>
      <c r="C84" s="31" t="inlineStr">
        <is>
          <t>Artist's Talent</t>
        </is>
      </c>
      <c r="D84" s="31" t="inlineStr">
        <is>
          <t>Enchantment</t>
        </is>
      </c>
      <c r="E84" s="30" t="n">
        <v>2</v>
      </c>
      <c r="F84" s="30" t="n"/>
      <c r="G84" s="30" t="inlineStr">
        <is>
          <t>Yes</t>
        </is>
      </c>
      <c r="H84" s="32" t="n">
        <v>4.5</v>
      </c>
      <c r="I84" s="30" t="inlineStr">
        <is>
          <t>Proxy</t>
        </is>
      </c>
      <c r="J84" s="31" t="inlineStr">
        <is>
          <t>Reduces your 2-mana Miracle spells to 0 cost.</t>
        </is>
      </c>
    </row>
    <row r="85" ht="16.5" customHeight="1" s="18">
      <c r="A85" s="30" t="n">
        <v>1</v>
      </c>
      <c r="B85" s="31" t="inlineStr">
        <is>
          <t>Top-Deck Engines</t>
        </is>
      </c>
      <c r="C85" s="31" t="inlineStr">
        <is>
          <t>Penance</t>
        </is>
      </c>
      <c r="D85" s="31" t="inlineStr">
        <is>
          <t>Enchantment</t>
        </is>
      </c>
      <c r="E85" s="30" t="n">
        <v>3</v>
      </c>
      <c r="F85" s="30" t="n"/>
      <c r="G85" s="30" t="inlineStr">
        <is>
          <t>Yes</t>
        </is>
      </c>
      <c r="H85" s="32" t="n">
        <v>3.5</v>
      </c>
      <c r="I85" s="30" t="inlineStr">
        <is>
          <t>Proxy</t>
        </is>
      </c>
      <c r="J85" s="31" t="inlineStr">
        <is>
          <t>Puts expensive spells from hand to top of library.</t>
        </is>
      </c>
    </row>
    <row r="86" ht="16.5" customHeight="1" s="18">
      <c r="A86" s="30" t="n">
        <v>1</v>
      </c>
      <c r="B86" s="31" t="inlineStr">
        <is>
          <t>Cross-Turn Mana</t>
        </is>
      </c>
      <c r="C86" s="31" t="inlineStr">
        <is>
          <t>Smothering Tithe</t>
        </is>
      </c>
      <c r="D86" s="31" t="inlineStr">
        <is>
          <t>Enchantment</t>
        </is>
      </c>
      <c r="E86" s="30" t="n">
        <v>4</v>
      </c>
      <c r="F86" s="30" t="n"/>
      <c r="G86" s="30" t="inlineStr">
        <is>
          <t>Yes</t>
        </is>
      </c>
      <c r="H86" s="32" t="n">
        <v>24</v>
      </c>
      <c r="I86" s="30" t="inlineStr">
        <is>
          <t>Proxy</t>
        </is>
      </c>
      <c r="J86" s="31" t="inlineStr">
        <is>
          <t>Generates massive amounts of Treasure tokens.</t>
        </is>
      </c>
    </row>
    <row r="87" ht="16.5" customHeight="1" s="18">
      <c r="A87" s="30" t="n">
        <v>1</v>
      </c>
      <c r="B87" s="31" t="inlineStr">
        <is>
          <t>Interaction &amp; Protection</t>
        </is>
      </c>
      <c r="C87" s="31" t="inlineStr">
        <is>
          <t>Dawn's Truce</t>
        </is>
      </c>
      <c r="D87" s="31" t="inlineStr">
        <is>
          <t>Instant</t>
        </is>
      </c>
      <c r="E87" s="30" t="n">
        <v>2</v>
      </c>
      <c r="F87" s="30" t="n"/>
      <c r="G87" s="30" t="inlineStr">
        <is>
          <t>No</t>
        </is>
      </c>
      <c r="H87" s="32" t="n">
        <v>9</v>
      </c>
      <c r="I87" s="30" t="inlineStr">
        <is>
          <t>Proxy</t>
        </is>
      </c>
      <c r="J87" s="31" t="inlineStr">
        <is>
          <t>Hexproof and indestructible.</t>
        </is>
      </c>
    </row>
    <row r="88" ht="16.5" customHeight="1" s="18">
      <c r="A88" s="30" t="n">
        <v>1</v>
      </c>
      <c r="B88" s="31" t="inlineStr">
        <is>
          <t>Lands</t>
        </is>
      </c>
      <c r="C88" s="31" t="inlineStr">
        <is>
          <t>Arid Mesa</t>
        </is>
      </c>
      <c r="D88" s="31" t="inlineStr">
        <is>
          <t>Land</t>
        </is>
      </c>
      <c r="E88" s="30" t="n">
        <v>0</v>
      </c>
      <c r="F88" s="30" t="n"/>
      <c r="G88" s="30" t="inlineStr">
        <is>
          <t>No</t>
        </is>
      </c>
      <c r="H88" s="32" t="n">
        <v>19</v>
      </c>
      <c r="I88" s="30" t="inlineStr">
        <is>
          <t>Proxy</t>
        </is>
      </c>
      <c r="J88" s="31" t="inlineStr">
        <is>
          <t>Fetch Land</t>
        </is>
      </c>
    </row>
    <row r="89" ht="16.5" customHeight="1" s="18">
      <c r="A89" s="33" t="n">
        <v>1</v>
      </c>
      <c r="B89" s="24" t="inlineStr">
        <is>
          <t>Lands</t>
        </is>
      </c>
      <c r="C89" s="24" t="inlineStr">
        <is>
          <t>Sacred Foundry</t>
        </is>
      </c>
      <c r="D89" s="24" t="inlineStr">
        <is>
          <t>Land</t>
        </is>
      </c>
      <c r="E89" s="33" t="n">
        <v>0</v>
      </c>
      <c r="F89" s="33" t="n"/>
      <c r="G89" s="33" t="inlineStr">
        <is>
          <t>No</t>
        </is>
      </c>
      <c r="H89" s="34" t="n">
        <v>19</v>
      </c>
      <c r="I89" s="30" t="inlineStr">
        <is>
          <t>Proxy</t>
        </is>
      </c>
      <c r="J89" s="24" t="inlineStr">
        <is>
          <t>Shock Land</t>
        </is>
      </c>
    </row>
    <row r="90" ht="16.5" customHeight="1" s="18">
      <c r="A90" s="33" t="n">
        <v>1</v>
      </c>
      <c r="B90" s="24" t="inlineStr">
        <is>
          <t>Lands</t>
        </is>
      </c>
      <c r="C90" s="24" t="inlineStr">
        <is>
          <t>Spectator Seating</t>
        </is>
      </c>
      <c r="D90" s="24" t="inlineStr">
        <is>
          <t>Land</t>
        </is>
      </c>
      <c r="E90" s="33" t="n">
        <v>0</v>
      </c>
      <c r="F90" s="33" t="n"/>
      <c r="G90" s="33" t="inlineStr">
        <is>
          <t>No</t>
        </is>
      </c>
      <c r="H90" s="34" t="n">
        <v>12</v>
      </c>
      <c r="I90" s="30" t="inlineStr">
        <is>
          <t>Proxy</t>
        </is>
      </c>
      <c r="J90" s="24" t="inlineStr">
        <is>
          <t>Multiplayer Land</t>
        </is>
      </c>
    </row>
    <row r="91" ht="16.5" customHeight="1" s="18">
      <c r="A91" s="33" t="n">
        <v>1</v>
      </c>
      <c r="B91" s="24" t="inlineStr">
        <is>
          <t>Massive Haymakers</t>
        </is>
      </c>
      <c r="C91" s="24" t="inlineStr">
        <is>
          <t>Call Forth the Tempest</t>
        </is>
      </c>
      <c r="D91" s="24" t="inlineStr">
        <is>
          <t>Sorcery</t>
        </is>
      </c>
      <c r="E91" s="33" t="n">
        <v>8</v>
      </c>
      <c r="F91" s="33" t="n">
        <v>2</v>
      </c>
      <c r="G91" s="33" t="inlineStr">
        <is>
          <t>No</t>
        </is>
      </c>
      <c r="H91" s="34" t="n">
        <v>3.5</v>
      </c>
      <c r="I91" s="30" t="inlineStr">
        <is>
          <t>Proxy</t>
        </is>
      </c>
      <c r="J91" s="24" t="inlineStr">
        <is>
          <t>Massive wipe with double cascade.</t>
        </is>
      </c>
    </row>
    <row r="92" ht="16.5" customHeight="1" s="18">
      <c r="A92" s="33" t="n">
        <v>1</v>
      </c>
      <c r="B92" s="24" t="inlineStr">
        <is>
          <t>Massive Haymakers</t>
        </is>
      </c>
      <c r="C92" s="24" t="inlineStr">
        <is>
          <t>Mizzix's Mastery</t>
        </is>
      </c>
      <c r="D92" s="24" t="inlineStr">
        <is>
          <t>Sorcery</t>
        </is>
      </c>
      <c r="E92" s="33" t="n">
        <v>4</v>
      </c>
      <c r="F92" s="33" t="n">
        <v>2</v>
      </c>
      <c r="G92" s="33" t="inlineStr">
        <is>
          <t>No</t>
        </is>
      </c>
      <c r="H92" s="34" t="n">
        <v>5</v>
      </c>
      <c r="I92" s="30" t="inlineStr">
        <is>
          <t>Proxy</t>
        </is>
      </c>
      <c r="J92" s="24" t="inlineStr">
        <is>
          <t>Replays graveyard full of spells via Overload.</t>
        </is>
      </c>
    </row>
    <row r="93" ht="16.5" customHeight="1" s="18">
      <c r="A93" s="33" t="n">
        <v>1</v>
      </c>
      <c r="B93" s="24" t="inlineStr">
        <is>
          <t>Massive Haymakers</t>
        </is>
      </c>
      <c r="C93" s="24" t="inlineStr">
        <is>
          <t>Rise of the Eldrazi</t>
        </is>
      </c>
      <c r="D93" s="24" t="inlineStr">
        <is>
          <t>Sorcery</t>
        </is>
      </c>
      <c r="E93" s="33" t="n">
        <v>12</v>
      </c>
      <c r="F93" s="33" t="n">
        <v>2</v>
      </c>
      <c r="G93" s="33" t="inlineStr">
        <is>
          <t>Yes</t>
        </is>
      </c>
      <c r="H93" s="34" t="n">
        <v>12</v>
      </c>
      <c r="I93" s="30" t="inlineStr">
        <is>
          <t>Proxy</t>
        </is>
      </c>
      <c r="J93" s="24" t="inlineStr">
        <is>
          <t>Draw 4, destroy permanent, extra turn.</t>
        </is>
      </c>
    </row>
    <row r="94" ht="16.5" customHeight="1" s="18">
      <c r="I94" s="30" t="n"/>
    </row>
  </sheetData>
  <autoFilter ref="A3:J93">
    <sortState ref="A4:J93">
      <sortCondition ref="A4:A93" customList=""/>
    </sortState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2026-06-23T00:47:51Z</dcterms:created>
  <dcterms:modified xsi:type="dcterms:W3CDTF">2026-09-04T02:29:17Z</dcterms:modified>
  <cp:revision>1</cp:revision>
</cp:coreProperties>
</file>